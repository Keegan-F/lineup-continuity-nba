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cenario % (team-season)" sheetId="2" state="visible" r:id="rId4"/>
    <sheet name="Scenario % (team 5yr)" sheetId="3" state="visible" r:id="rId5"/>
    <sheet name="Start-Class % (team-season)" sheetId="4" state="visible" r:id="rId6"/>
    <sheet name="Start-Class % (team 5yr)" sheetId="5" state="visible" r:id="rId7"/>
    <sheet name="Scenario Minutes" sheetId="6" state="visible" r:id="rId8"/>
    <sheet name="Start-Class Minu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<sst xmlns="http://schemas.openxmlformats.org/spreadsheetml/2006/main" count="1353" uniqueCount="93">
  <si>
    <t xml:space="preserve">NBA Lineup Continuity — Minute Distribution (all teams, all seasons)</t>
  </si>
  <si>
    <t xml:space="preserve">Play-by-play, 30 teams x 5 seasons (2021-22 to 2025-26). Collision-safe: tags keyed on player_id; HOU 2023-24 uses corrected Green tags.</t>
  </si>
  <si>
    <t xml:space="preserve">TWO LENSES</t>
  </si>
  <si>
    <t xml:space="preserve">Scenario distribution</t>
  </si>
  <si>
    <t xml:space="preserve">% of a team-seasons minutes spent in each roster-tag SCENARIO, classified by the lineup on the floor each stint.</t>
  </si>
  <si>
    <t xml:space="preserve">  Preserve</t>
  </si>
  <si>
    <t xml:space="preserve">Starters + Deep Bench Player, and Short Bench Preserved.</t>
  </si>
  <si>
    <t xml:space="preserve">  Pilfer</t>
  </si>
  <si>
    <t xml:space="preserve">Starters + Short Bench Player, and Short Bench Pilfered.</t>
  </si>
  <si>
    <t xml:space="preserve">  Baseline</t>
  </si>
  <si>
    <t xml:space="preserve">Starter Baseline (5 starters).</t>
  </si>
  <si>
    <t xml:space="preserve">  Garbage Time</t>
  </si>
  <si>
    <t xml:space="preserve">Garbage-time lineups (tag-based).</t>
  </si>
  <si>
    <t xml:space="preserve">  Other</t>
  </si>
  <si>
    <t xml:space="preserve">Lineups not matching a defined scenario (&lt;0.5% of minutes).</t>
  </si>
  <si>
    <t xml:space="preserve">Starting-class distribution</t>
  </si>
  <si>
    <t xml:space="preserve">% of a team-seasons minutes that occurred in GAMES started by each composition. All of a games minutes are attributed to its starting fives class.</t>
  </si>
  <si>
    <t xml:space="preserve">  5+0 / 4+1 / 3+2 / &lt;=2</t>
  </si>
  <si>
    <t xml:space="preserve">Number of tagged Starters in the starting five (5+0 = all five; 4+1 = four; etc.). 4+1 and 3+2 split by SB vs DB of the non-starters.</t>
  </si>
  <si>
    <t xml:space="preserve">KEY DIFFERENCE</t>
  </si>
  <si>
    <t xml:space="preserve">Scenario distribution classifies EACH STINT by who is on the floor. Starting-class distribution classifies each GAME once, by who started, then attributes the whole games minutes to that class. The two answer different questions and will not match.</t>
  </si>
  <si>
    <t xml:space="preserve">SHEET GUIDE</t>
  </si>
  <si>
    <t xml:space="preserve">Scenario % (team-season)</t>
  </si>
  <si>
    <t xml:space="preserve">150 rows: each team-seasons minute share by scenario. Percentages are formulas over the minutes in "Scenario Minutes".</t>
  </si>
  <si>
    <t xml:space="preserve">Scenario % (team 5yr)</t>
  </si>
  <si>
    <t xml:space="preserve">30 rows: each franchises 5-year minute share by scenario.</t>
  </si>
  <si>
    <t xml:space="preserve">Start-Class % (team-season)</t>
  </si>
  <si>
    <t xml:space="preserve">150 rows: minute share by starting class.</t>
  </si>
  <si>
    <t xml:space="preserve">Start-Class % (team 5yr)</t>
  </si>
  <si>
    <t xml:space="preserve">30 rows: franchise 5-year minute share by starting class.</t>
  </si>
  <si>
    <t xml:space="preserve">Scenario Minutes</t>
  </si>
  <si>
    <t xml:space="preserve">Underlying minutes (values) behind the scenario percentages.</t>
  </si>
  <si>
    <t xml:space="preserve">Start-Class Minutes</t>
  </si>
  <si>
    <t xml:space="preserve">Underlying minutes (values) behind the starting-class percentages.</t>
  </si>
  <si>
    <t xml:space="preserve">Scenario % of Minutes — by team-season</t>
  </si>
  <si>
    <t xml:space="preserve">Share of each team-seasons minutes by roster-tag scenario. Cells are formulas over "Scenario Minutes".</t>
  </si>
  <si>
    <t xml:space="preserve">Season</t>
  </si>
  <si>
    <t xml:space="preserve">Team</t>
  </si>
  <si>
    <t xml:space="preserve">Preserve</t>
  </si>
  <si>
    <t xml:space="preserve">Pilfer</t>
  </si>
  <si>
    <t xml:space="preserve">Baseline</t>
  </si>
  <si>
    <t xml:space="preserve">Garbage Time</t>
  </si>
  <si>
    <t xml:space="preserve">Other</t>
  </si>
  <si>
    <t xml:space="preserve">2021-22</t>
  </si>
  <si>
    <t xml:space="preserve">ATL</t>
  </si>
  <si>
    <t xml:space="preserve">2022-23</t>
  </si>
  <si>
    <t xml:space="preserve">2023-24</t>
  </si>
  <si>
    <t xml:space="preserve">2024-25</t>
  </si>
  <si>
    <t xml:space="preserve">2025-26</t>
  </si>
  <si>
    <t xml:space="preserve">BKN</t>
  </si>
  <si>
    <t xml:space="preserve">BOS</t>
  </si>
  <si>
    <t xml:space="preserve">CHA</t>
  </si>
  <si>
    <t xml:space="preserve">CHI</t>
  </si>
  <si>
    <t xml:space="preserve">CLE</t>
  </si>
  <si>
    <t xml:space="preserve">DAL</t>
  </si>
  <si>
    <t xml:space="preserve">DEN</t>
  </si>
  <si>
    <t xml:space="preserve">DET</t>
  </si>
  <si>
    <t xml:space="preserve">GSW</t>
  </si>
  <si>
    <t xml:space="preserve">HOU</t>
  </si>
  <si>
    <t xml:space="preserve">IND</t>
  </si>
  <si>
    <t xml:space="preserve">LAC</t>
  </si>
  <si>
    <t xml:space="preserve">LAL</t>
  </si>
  <si>
    <t xml:space="preserve">MEM</t>
  </si>
  <si>
    <t xml:space="preserve">MIA</t>
  </si>
  <si>
    <t xml:space="preserve">MIL</t>
  </si>
  <si>
    <t xml:space="preserve">MIN</t>
  </si>
  <si>
    <t xml:space="preserve">NOP</t>
  </si>
  <si>
    <t xml:space="preserve">NYK</t>
  </si>
  <si>
    <t xml:space="preserve">OKC</t>
  </si>
  <si>
    <t xml:space="preserve">ORL</t>
  </si>
  <si>
    <t xml:space="preserve">PHI</t>
  </si>
  <si>
    <t xml:space="preserve">PHX</t>
  </si>
  <si>
    <t xml:space="preserve">POR</t>
  </si>
  <si>
    <t xml:space="preserve">SAC</t>
  </si>
  <si>
    <t xml:space="preserve">SAS</t>
  </si>
  <si>
    <t xml:space="preserve">TOR</t>
  </si>
  <si>
    <t xml:space="preserve">UTA</t>
  </si>
  <si>
    <t xml:space="preserve">WAS</t>
  </si>
  <si>
    <t xml:space="preserve">Scenario % of Minutes — franchise 5-year</t>
  </si>
  <si>
    <t xml:space="preserve">Starting-Class % of Minutes — by team-season</t>
  </si>
  <si>
    <t xml:space="preserve">Share of each team-seasons minutes by starting class. Cells are formulas over "Start-Class Minutes".</t>
  </si>
  <si>
    <t xml:space="preserve">5+0</t>
  </si>
  <si>
    <t xml:space="preserve">4+1 SB</t>
  </si>
  <si>
    <t xml:space="preserve">4+1 DB</t>
  </si>
  <si>
    <t xml:space="preserve">3+2 SB+SB</t>
  </si>
  <si>
    <t xml:space="preserve">3+2 DB+SB</t>
  </si>
  <si>
    <t xml:space="preserve">3+2 DB+DB</t>
  </si>
  <si>
    <t xml:space="preserve">3+2 Other</t>
  </si>
  <si>
    <t xml:space="preserve">&lt;=2</t>
  </si>
  <si>
    <t xml:space="preserve">Starting-Class % of Minutes — franchise 5-year</t>
  </si>
  <si>
    <t xml:space="preserve">Scenario Minutes (raw, by team-season)</t>
  </si>
  <si>
    <t xml:space="preserve">Total</t>
  </si>
  <si>
    <t xml:space="preserve">Starting-Class Minutes (raw, by team-season)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</si>
</sst>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5" t="s">
        <v>2</v>
      </c>
      <c r="B5" s="4"/>
    </row>
    <row r="6" customFormat="false" ht="15" hidden="false" customHeight="false" outlineLevel="0" collapsed="false">
      <c r="A6" s="3" t="s">
        <v>3</v>
      </c>
      <c r="B6" s="4" t="s">
        <v>4</v>
      </c>
    </row>
    <row r="7" customFormat="false" ht="15" hidden="false" customHeight="false" outlineLevel="0" collapsed="false">
      <c r="A7" s="3" t="s">
        <v>5</v>
      </c>
      <c r="B7" s="4" t="s">
        <v>6</v>
      </c>
    </row>
    <row r="8" customFormat="false" ht="15" hidden="false" customHeight="false" outlineLevel="0" collapsed="false">
      <c r="A8" s="3" t="s">
        <v>7</v>
      </c>
      <c r="B8" s="4" t="s">
        <v>8</v>
      </c>
    </row>
    <row r="9" customFormat="false" ht="15" hidden="false" customHeight="false" outlineLevel="0" collapsed="false">
      <c r="A9" s="3" t="s">
        <v>9</v>
      </c>
      <c r="B9" s="4" t="s">
        <v>10</v>
      </c>
    </row>
    <row r="10" customFormat="false" ht="1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3" t="s">
        <v>13</v>
      </c>
      <c r="B11" s="4" t="s">
        <v>14</v>
      </c>
    </row>
    <row r="12" customFormat="false" ht="15" hidden="false" customHeight="false" outlineLevel="0" collapsed="false">
      <c r="A12" s="3"/>
      <c r="B12" s="4"/>
    </row>
    <row r="13" customFormat="false" ht="23.85" hidden="false" customHeight="false" outlineLevel="0" collapsed="false">
      <c r="A13" s="3" t="s">
        <v>15</v>
      </c>
      <c r="B13" s="4" t="s">
        <v>16</v>
      </c>
    </row>
    <row r="14" customFormat="false" ht="23.85" hidden="false" customHeight="false" outlineLevel="0" collapsed="false">
      <c r="A14" s="3" t="s">
        <v>17</v>
      </c>
      <c r="B14" s="4" t="s">
        <v>18</v>
      </c>
    </row>
    <row r="15" customFormat="false" ht="15" hidden="false" customHeight="false" outlineLevel="0" collapsed="false">
      <c r="A15" s="3"/>
      <c r="B15" s="4"/>
    </row>
    <row r="16" customFormat="false" ht="15" hidden="false" customHeight="false" outlineLevel="0" collapsed="false">
      <c r="A16" s="5" t="s">
        <v>19</v>
      </c>
      <c r="B16" s="4"/>
    </row>
    <row r="17" customFormat="false" ht="35.05" hidden="false" customHeight="false" outlineLevel="0" collapsed="false">
      <c r="A17" s="3"/>
      <c r="B17" s="4" t="s">
        <v>20</v>
      </c>
    </row>
    <row r="18" customFormat="false" ht="15" hidden="false" customHeight="false" outlineLevel="0" collapsed="false">
      <c r="A18" s="3"/>
      <c r="B18" s="4"/>
    </row>
    <row r="19" customFormat="false" ht="15" hidden="false" customHeight="false" outlineLevel="0" collapsed="false">
      <c r="A19" s="5" t="s">
        <v>21</v>
      </c>
      <c r="B19" s="4"/>
    </row>
    <row r="20" customFormat="false" ht="23.85" hidden="false" customHeight="false" outlineLevel="0" collapsed="false">
      <c r="A20" s="3" t="s">
        <v>22</v>
      </c>
      <c r="B20" s="4" t="s">
        <v>23</v>
      </c>
    </row>
    <row r="21" customFormat="false" ht="15" hidden="false" customHeight="false" outlineLevel="0" collapsed="false">
      <c r="A21" s="3" t="s">
        <v>24</v>
      </c>
      <c r="B21" s="4" t="s">
        <v>25</v>
      </c>
    </row>
    <row r="22" customFormat="false" ht="15" hidden="false" customHeight="false" outlineLevel="0" collapsed="false">
      <c r="A22" s="3" t="s">
        <v>26</v>
      </c>
      <c r="B22" s="4" t="s">
        <v>27</v>
      </c>
    </row>
    <row r="23" customFormat="false" ht="15" hidden="false" customHeight="false" outlineLevel="0" collapsed="false">
      <c r="A23" s="3" t="s">
        <v>28</v>
      </c>
      <c r="B23" s="4" t="s">
        <v>29</v>
      </c>
    </row>
    <row r="24" customFormat="false" ht="15" hidden="false" customHeight="false" outlineLevel="0" collapsed="false">
      <c r="A24" s="3" t="s">
        <v>30</v>
      </c>
      <c r="B24" s="4" t="s">
        <v>31</v>
      </c>
    </row>
    <row r="25" customFormat="false" ht="15" hidden="false" customHeight="false" outlineLevel="0" collapsed="false">
      <c r="A25" s="3" t="s">
        <v>32</v>
      </c>
      <c r="B25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7" min="3" style="0" width="12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23.85" hidden="false" customHeight="false" outlineLevel="0" collapsed="false">
      <c r="A4" s="6" t="s">
        <v>36</v>
      </c>
      <c r="B4" s="6" t="s">
        <v>37</v>
      </c>
      <c r="C4" s="6" t="s">
        <v>38</v>
      </c>
      <c r="D4" s="6" t="s">
        <v>39</v>
      </c>
      <c r="E4" s="6" t="s">
        <v>40</v>
      </c>
      <c r="F4" s="6" t="s">
        <v>41</v>
      </c>
      <c r="G4" s="6" t="s">
        <v>42</v>
      </c>
    </row>
    <row r="5" customFormat="false" ht="15" hidden="false" customHeight="false" outlineLevel="0" collapsed="false">
      <c r="A5" s="7" t="s">
        <v>43</v>
      </c>
      <c r="B5" s="7" t="s">
        <v>44</v>
      </c>
      <c r="C5" s="8" t="n">
        <f aca="false">IFERROR('Scenario Minutes'!C4/'Scenario Minutes'!$H4,0)</f>
        <v>0.392590713017001</v>
      </c>
      <c r="D5" s="8" t="n">
        <f aca="false">IFERROR('Scenario Minutes'!D4/'Scenario Minutes'!$H4,0)</f>
        <v>0.453641207815275</v>
      </c>
      <c r="E5" s="8" t="n">
        <f aca="false">IFERROR('Scenario Minutes'!E4/'Scenario Minutes'!$H4,0)</f>
        <v>0.0452676985536666</v>
      </c>
      <c r="F5" s="8" t="n">
        <f aca="false">IFERROR('Scenario Minutes'!F4/'Scenario Minutes'!$H4,0)</f>
        <v>0.108500380614057</v>
      </c>
      <c r="G5" s="8" t="n">
        <f aca="false">IFERROR('Scenario Minutes'!G4/'Scenario Minutes'!$H4,0)</f>
        <v>0</v>
      </c>
    </row>
    <row r="6" customFormat="false" ht="15" hidden="false" customHeight="false" outlineLevel="0" collapsed="false">
      <c r="A6" s="7" t="s">
        <v>45</v>
      </c>
      <c r="B6" s="7" t="s">
        <v>44</v>
      </c>
      <c r="C6" s="8" t="n">
        <f aca="false">IFERROR('Scenario Minutes'!C5/'Scenario Minutes'!$H5,0)</f>
        <v>0.297589967009998</v>
      </c>
      <c r="D6" s="8" t="n">
        <f aca="false">IFERROR('Scenario Minutes'!D5/'Scenario Minutes'!$H5,0)</f>
        <v>0.454229519756227</v>
      </c>
      <c r="E6" s="8" t="n">
        <f aca="false">IFERROR('Scenario Minutes'!E5/'Scenario Minutes'!$H5,0)</f>
        <v>0.185776524213654</v>
      </c>
      <c r="F6" s="8" t="n">
        <f aca="false">IFERROR('Scenario Minutes'!F5/'Scenario Minutes'!$H5,0)</f>
        <v>0.0624039890201214</v>
      </c>
      <c r="G6" s="8" t="n">
        <f aca="false">IFERROR('Scenario Minutes'!G5/'Scenario Minutes'!$H5,0)</f>
        <v>0</v>
      </c>
    </row>
    <row r="7" customFormat="false" ht="15" hidden="false" customHeight="false" outlineLevel="0" collapsed="false">
      <c r="A7" s="7" t="s">
        <v>46</v>
      </c>
      <c r="B7" s="7" t="s">
        <v>44</v>
      </c>
      <c r="C7" s="8" t="n">
        <f aca="false">IFERROR('Scenario Minutes'!C6/'Scenario Minutes'!$H6,0)</f>
        <v>0.148220895973408</v>
      </c>
      <c r="D7" s="8" t="n">
        <f aca="false">IFERROR('Scenario Minutes'!D6/'Scenario Minutes'!$H6,0)</f>
        <v>0.645614565233814</v>
      </c>
      <c r="E7" s="8" t="n">
        <f aca="false">IFERROR('Scenario Minutes'!E6/'Scenario Minutes'!$H6,0)</f>
        <v>0.168542721160384</v>
      </c>
      <c r="F7" s="8" t="n">
        <f aca="false">IFERROR('Scenario Minutes'!F6/'Scenario Minutes'!$H6,0)</f>
        <v>0.037621817632394</v>
      </c>
      <c r="G7" s="8" t="n">
        <f aca="false">IFERROR('Scenario Minutes'!G6/'Scenario Minutes'!$H6,0)</f>
        <v>0</v>
      </c>
    </row>
    <row r="8" customFormat="false" ht="15" hidden="false" customHeight="false" outlineLevel="0" collapsed="false">
      <c r="A8" s="7" t="s">
        <v>47</v>
      </c>
      <c r="B8" s="7" t="s">
        <v>44</v>
      </c>
      <c r="C8" s="8" t="n">
        <f aca="false">IFERROR('Scenario Minutes'!C7/'Scenario Minutes'!$H7,0)</f>
        <v>0.352764225587098</v>
      </c>
      <c r="D8" s="8" t="n">
        <f aca="false">IFERROR('Scenario Minutes'!D7/'Scenario Minutes'!$H7,0)</f>
        <v>0.550620592027099</v>
      </c>
      <c r="E8" s="8" t="n">
        <f aca="false">IFERROR('Scenario Minutes'!E7/'Scenario Minutes'!$H7,0)</f>
        <v>0.071184812558457</v>
      </c>
      <c r="F8" s="8" t="n">
        <f aca="false">IFERROR('Scenario Minutes'!F7/'Scenario Minutes'!$H7,0)</f>
        <v>0.0254303698273465</v>
      </c>
      <c r="G8" s="8" t="n">
        <f aca="false">IFERROR('Scenario Minutes'!G7/'Scenario Minutes'!$H7,0)</f>
        <v>0</v>
      </c>
    </row>
    <row r="9" customFormat="false" ht="15" hidden="false" customHeight="false" outlineLevel="0" collapsed="false">
      <c r="A9" s="7" t="s">
        <v>48</v>
      </c>
      <c r="B9" s="7" t="s">
        <v>44</v>
      </c>
      <c r="C9" s="8" t="n">
        <f aca="false">IFERROR('Scenario Minutes'!C8/'Scenario Minutes'!$H8,0)</f>
        <v>0.262142802905667</v>
      </c>
      <c r="D9" s="8" t="n">
        <f aca="false">IFERROR('Scenario Minutes'!D8/'Scenario Minutes'!$H8,0)</f>
        <v>0.505859424434939</v>
      </c>
      <c r="E9" s="8" t="n">
        <f aca="false">IFERROR('Scenario Minutes'!E8/'Scenario Minutes'!$H8,0)</f>
        <v>0.210407755195019</v>
      </c>
      <c r="F9" s="8" t="n">
        <f aca="false">IFERROR('Scenario Minutes'!F8/'Scenario Minutes'!$H8,0)</f>
        <v>0.0215900174643752</v>
      </c>
      <c r="G9" s="8" t="n">
        <f aca="false">IFERROR('Scenario Minutes'!G8/'Scenario Minutes'!$H8,0)</f>
        <v>0</v>
      </c>
    </row>
    <row r="10" customFormat="false" ht="15" hidden="false" customHeight="false" outlineLevel="0" collapsed="false">
      <c r="A10" s="7" t="s">
        <v>43</v>
      </c>
      <c r="B10" s="7" t="s">
        <v>49</v>
      </c>
      <c r="C10" s="8" t="n">
        <f aca="false">IFERROR('Scenario Minutes'!C9/'Scenario Minutes'!$H9,0)</f>
        <v>0.280739053404201</v>
      </c>
      <c r="D10" s="8" t="n">
        <f aca="false">IFERROR('Scenario Minutes'!D9/'Scenario Minutes'!$H9,0)</f>
        <v>0.683421918501645</v>
      </c>
      <c r="E10" s="8" t="n">
        <f aca="false">IFERROR('Scenario Minutes'!E9/'Scenario Minutes'!$H9,0)</f>
        <v>0.00635282207036193</v>
      </c>
      <c r="F10" s="8" t="n">
        <f aca="false">IFERROR('Scenario Minutes'!F9/'Scenario Minutes'!$H9,0)</f>
        <v>0.0294862060237914</v>
      </c>
      <c r="G10" s="8" t="n">
        <f aca="false">IFERROR('Scenario Minutes'!G9/'Scenario Minutes'!$H9,0)</f>
        <v>0</v>
      </c>
    </row>
    <row r="11" customFormat="false" ht="15" hidden="false" customHeight="false" outlineLevel="0" collapsed="false">
      <c r="A11" s="7" t="s">
        <v>45</v>
      </c>
      <c r="B11" s="7" t="s">
        <v>49</v>
      </c>
      <c r="C11" s="8" t="n">
        <f aca="false">IFERROR('Scenario Minutes'!C10/'Scenario Minutes'!$H10,0)</f>
        <v>0.166294982260517</v>
      </c>
      <c r="D11" s="8" t="n">
        <f aca="false">IFERROR('Scenario Minutes'!D10/'Scenario Minutes'!$H10,0)</f>
        <v>0.632818043588444</v>
      </c>
      <c r="E11" s="8" t="n">
        <f aca="false">IFERROR('Scenario Minutes'!E10/'Scenario Minutes'!$H10,0)</f>
        <v>0.122909275215408</v>
      </c>
      <c r="F11" s="8" t="n">
        <f aca="false">IFERROR('Scenario Minutes'!F10/'Scenario Minutes'!$H10,0)</f>
        <v>0.077977698935631</v>
      </c>
      <c r="G11" s="8" t="n">
        <f aca="false">IFERROR('Scenario Minutes'!G10/'Scenario Minutes'!$H10,0)</f>
        <v>0</v>
      </c>
    </row>
    <row r="12" customFormat="false" ht="15" hidden="false" customHeight="false" outlineLevel="0" collapsed="false">
      <c r="A12" s="7" t="s">
        <v>46</v>
      </c>
      <c r="B12" s="7" t="s">
        <v>49</v>
      </c>
      <c r="C12" s="8" t="n">
        <f aca="false">IFERROR('Scenario Minutes'!C11/'Scenario Minutes'!$H11,0)</f>
        <v>0.260010098459985</v>
      </c>
      <c r="D12" s="8" t="n">
        <f aca="false">IFERROR('Scenario Minutes'!D11/'Scenario Minutes'!$H11,0)</f>
        <v>0.413102751830346</v>
      </c>
      <c r="E12" s="8" t="n">
        <f aca="false">IFERROR('Scenario Minutes'!E11/'Scenario Minutes'!$H11,0)</f>
        <v>0.27642009593537</v>
      </c>
      <c r="F12" s="8" t="n">
        <f aca="false">IFERROR('Scenario Minutes'!F11/'Scenario Minutes'!$H11,0)</f>
        <v>0.0504670537742994</v>
      </c>
      <c r="G12" s="8" t="n">
        <f aca="false">IFERROR('Scenario Minutes'!G11/'Scenario Minutes'!$H11,0)</f>
        <v>0</v>
      </c>
    </row>
    <row r="13" customFormat="false" ht="15" hidden="false" customHeight="false" outlineLevel="0" collapsed="false">
      <c r="A13" s="7" t="s">
        <v>47</v>
      </c>
      <c r="B13" s="7" t="s">
        <v>49</v>
      </c>
      <c r="C13" s="8" t="n">
        <f aca="false">IFERROR('Scenario Minutes'!C12/'Scenario Minutes'!$H12,0)</f>
        <v>0.202831142568251</v>
      </c>
      <c r="D13" s="8" t="n">
        <f aca="false">IFERROR('Scenario Minutes'!D12/'Scenario Minutes'!$H12,0)</f>
        <v>0.558569261880688</v>
      </c>
      <c r="E13" s="8" t="n">
        <f aca="false">IFERROR('Scenario Minutes'!E12/'Scenario Minutes'!$H12,0)</f>
        <v>0.140015166835187</v>
      </c>
      <c r="F13" s="8" t="n">
        <f aca="false">IFERROR('Scenario Minutes'!F12/'Scenario Minutes'!$H12,0)</f>
        <v>0.0985844287158746</v>
      </c>
      <c r="G13" s="8" t="n">
        <f aca="false">IFERROR('Scenario Minutes'!G12/'Scenario Minutes'!$H12,0)</f>
        <v>0</v>
      </c>
    </row>
    <row r="14" customFormat="false" ht="15" hidden="false" customHeight="false" outlineLevel="0" collapsed="false">
      <c r="A14" s="7" t="s">
        <v>48</v>
      </c>
      <c r="B14" s="7" t="s">
        <v>49</v>
      </c>
      <c r="C14" s="8" t="n">
        <f aca="false">IFERROR('Scenario Minutes'!C13/'Scenario Minutes'!$H13,0)</f>
        <v>0.0462161478106808</v>
      </c>
      <c r="D14" s="8" t="n">
        <f aca="false">IFERROR('Scenario Minutes'!D13/'Scenario Minutes'!$H13,0)</f>
        <v>0.416021260440395</v>
      </c>
      <c r="E14" s="8" t="n">
        <f aca="false">IFERROR('Scenario Minutes'!E13/'Scenario Minutes'!$H13,0)</f>
        <v>0</v>
      </c>
      <c r="F14" s="8" t="n">
        <f aca="false">IFERROR('Scenario Minutes'!F13/'Scenario Minutes'!$H13,0)</f>
        <v>0.206656542647431</v>
      </c>
      <c r="G14" s="8" t="n">
        <f aca="false">IFERROR('Scenario Minutes'!G13/'Scenario Minutes'!$H13,0)</f>
        <v>0.331106049101493</v>
      </c>
    </row>
    <row r="15" customFormat="false" ht="15" hidden="false" customHeight="false" outlineLevel="0" collapsed="false">
      <c r="A15" s="7" t="s">
        <v>43</v>
      </c>
      <c r="B15" s="7" t="s">
        <v>50</v>
      </c>
      <c r="C15" s="8" t="n">
        <f aca="false">IFERROR('Scenario Minutes'!C14/'Scenario Minutes'!$H14,0)</f>
        <v>0.404194925898016</v>
      </c>
      <c r="D15" s="8" t="n">
        <f aca="false">IFERROR('Scenario Minutes'!D14/'Scenario Minutes'!$H14,0)</f>
        <v>0.425898015573976</v>
      </c>
      <c r="E15" s="8" t="n">
        <f aca="false">IFERROR('Scenario Minutes'!E14/'Scenario Minutes'!$H14,0)</f>
        <v>0.111228334589299</v>
      </c>
      <c r="F15" s="8" t="n">
        <f aca="false">IFERROR('Scenario Minutes'!F14/'Scenario Minutes'!$H14,0)</f>
        <v>0.0586787239387089</v>
      </c>
      <c r="G15" s="8" t="n">
        <f aca="false">IFERROR('Scenario Minutes'!G14/'Scenario Minutes'!$H14,0)</f>
        <v>0</v>
      </c>
    </row>
    <row r="16" customFormat="false" ht="15" hidden="false" customHeight="false" outlineLevel="0" collapsed="false">
      <c r="A16" s="7" t="s">
        <v>45</v>
      </c>
      <c r="B16" s="7" t="s">
        <v>50</v>
      </c>
      <c r="C16" s="8" t="n">
        <f aca="false">IFERROR('Scenario Minutes'!C15/'Scenario Minutes'!$H15,0)</f>
        <v>0.347397397397397</v>
      </c>
      <c r="D16" s="8" t="n">
        <f aca="false">IFERROR('Scenario Minutes'!D15/'Scenario Minutes'!$H15,0)</f>
        <v>0.492892892892893</v>
      </c>
      <c r="E16" s="8" t="n">
        <f aca="false">IFERROR('Scenario Minutes'!E15/'Scenario Minutes'!$H15,0)</f>
        <v>0.108208208208208</v>
      </c>
      <c r="F16" s="8" t="n">
        <f aca="false">IFERROR('Scenario Minutes'!F15/'Scenario Minutes'!$H15,0)</f>
        <v>0.0515015015015015</v>
      </c>
      <c r="G16" s="8" t="n">
        <f aca="false">IFERROR('Scenario Minutes'!G15/'Scenario Minutes'!$H15,0)</f>
        <v>0</v>
      </c>
    </row>
    <row r="17" customFormat="false" ht="15" hidden="false" customHeight="false" outlineLevel="0" collapsed="false">
      <c r="A17" s="7" t="s">
        <v>46</v>
      </c>
      <c r="B17" s="7" t="s">
        <v>50</v>
      </c>
      <c r="C17" s="8" t="n">
        <f aca="false">IFERROR('Scenario Minutes'!C16/'Scenario Minutes'!$H16,0)</f>
        <v>0.319566313666162</v>
      </c>
      <c r="D17" s="8" t="n">
        <f aca="false">IFERROR('Scenario Minutes'!D16/'Scenario Minutes'!$H16,0)</f>
        <v>0.432728189611699</v>
      </c>
      <c r="E17" s="8" t="n">
        <f aca="false">IFERROR('Scenario Minutes'!E16/'Scenario Minutes'!$H16,0)</f>
        <v>0.157034795763994</v>
      </c>
      <c r="F17" s="8" t="n">
        <f aca="false">IFERROR('Scenario Minutes'!F16/'Scenario Minutes'!$H16,0)</f>
        <v>0.0906707009581442</v>
      </c>
      <c r="G17" s="8" t="n">
        <f aca="false">IFERROR('Scenario Minutes'!G16/'Scenario Minutes'!$H16,0)</f>
        <v>0</v>
      </c>
    </row>
    <row r="18" customFormat="false" ht="15" hidden="false" customHeight="false" outlineLevel="0" collapsed="false">
      <c r="A18" s="7" t="s">
        <v>47</v>
      </c>
      <c r="B18" s="7" t="s">
        <v>50</v>
      </c>
      <c r="C18" s="8" t="n">
        <f aca="false">IFERROR('Scenario Minutes'!C17/'Scenario Minutes'!$H17,0)</f>
        <v>0.26679273827534</v>
      </c>
      <c r="D18" s="8" t="n">
        <f aca="false">IFERROR('Scenario Minutes'!D17/'Scenario Minutes'!$H17,0)</f>
        <v>0.455269793242562</v>
      </c>
      <c r="E18" s="8" t="n">
        <f aca="false">IFERROR('Scenario Minutes'!E17/'Scenario Minutes'!$H17,0)</f>
        <v>0.209379727685325</v>
      </c>
      <c r="F18" s="8" t="n">
        <f aca="false">IFERROR('Scenario Minutes'!F17/'Scenario Minutes'!$H17,0)</f>
        <v>0.0685577407967726</v>
      </c>
      <c r="G18" s="8" t="n">
        <f aca="false">IFERROR('Scenario Minutes'!G17/'Scenario Minutes'!$H17,0)</f>
        <v>0</v>
      </c>
    </row>
    <row r="19" customFormat="false" ht="15" hidden="false" customHeight="false" outlineLevel="0" collapsed="false">
      <c r="A19" s="7" t="s">
        <v>48</v>
      </c>
      <c r="B19" s="7" t="s">
        <v>50</v>
      </c>
      <c r="C19" s="8" t="n">
        <f aca="false">IFERROR('Scenario Minutes'!C18/'Scenario Minutes'!$H18,0)</f>
        <v>0.445475050051953</v>
      </c>
      <c r="D19" s="8" t="n">
        <f aca="false">IFERROR('Scenario Minutes'!D18/'Scenario Minutes'!$H18,0)</f>
        <v>0.466180085658532</v>
      </c>
      <c r="E19" s="8" t="n">
        <f aca="false">IFERROR('Scenario Minutes'!E18/'Scenario Minutes'!$H18,0)</f>
        <v>0.0505841506373704</v>
      </c>
      <c r="F19" s="8" t="n">
        <f aca="false">IFERROR('Scenario Minutes'!F18/'Scenario Minutes'!$H18,0)</f>
        <v>0.0377607136521453</v>
      </c>
      <c r="G19" s="8" t="n">
        <f aca="false">IFERROR('Scenario Minutes'!G18/'Scenario Minutes'!$H18,0)</f>
        <v>0</v>
      </c>
    </row>
    <row r="20" customFormat="false" ht="15" hidden="false" customHeight="false" outlineLevel="0" collapsed="false">
      <c r="A20" s="7" t="s">
        <v>43</v>
      </c>
      <c r="B20" s="7" t="s">
        <v>51</v>
      </c>
      <c r="C20" s="8" t="n">
        <f aca="false">IFERROR('Scenario Minutes'!C19/'Scenario Minutes'!$H19,0)</f>
        <v>0.381539235412475</v>
      </c>
      <c r="D20" s="8" t="n">
        <f aca="false">IFERROR('Scenario Minutes'!D19/'Scenario Minutes'!$H19,0)</f>
        <v>0.484255533199195</v>
      </c>
      <c r="E20" s="8" t="n">
        <f aca="false">IFERROR('Scenario Minutes'!E19/'Scenario Minutes'!$H19,0)</f>
        <v>0.0939386317907445</v>
      </c>
      <c r="F20" s="8" t="n">
        <f aca="false">IFERROR('Scenario Minutes'!F19/'Scenario Minutes'!$H19,0)</f>
        <v>0.0402665995975855</v>
      </c>
      <c r="G20" s="8" t="n">
        <f aca="false">IFERROR('Scenario Minutes'!G19/'Scenario Minutes'!$H19,0)</f>
        <v>0</v>
      </c>
    </row>
    <row r="21" customFormat="false" ht="15" hidden="false" customHeight="false" outlineLevel="0" collapsed="false">
      <c r="A21" s="7" t="s">
        <v>45</v>
      </c>
      <c r="B21" s="7" t="s">
        <v>51</v>
      </c>
      <c r="C21" s="8" t="n">
        <f aca="false">IFERROR('Scenario Minutes'!C20/'Scenario Minutes'!$H20,0)</f>
        <v>0.116641452344932</v>
      </c>
      <c r="D21" s="8" t="n">
        <f aca="false">IFERROR('Scenario Minutes'!D20/'Scenario Minutes'!$H20,0)</f>
        <v>0.685224407463439</v>
      </c>
      <c r="E21" s="8" t="n">
        <f aca="false">IFERROR('Scenario Minutes'!E20/'Scenario Minutes'!$H20,0)</f>
        <v>0.101311144730207</v>
      </c>
      <c r="F21" s="8" t="n">
        <f aca="false">IFERROR('Scenario Minutes'!F20/'Scenario Minutes'!$H20,0)</f>
        <v>0.0968229954614221</v>
      </c>
      <c r="G21" s="8" t="n">
        <f aca="false">IFERROR('Scenario Minutes'!G20/'Scenario Minutes'!$H20,0)</f>
        <v>0</v>
      </c>
    </row>
    <row r="22" customFormat="false" ht="15" hidden="false" customHeight="false" outlineLevel="0" collapsed="false">
      <c r="A22" s="7" t="s">
        <v>46</v>
      </c>
      <c r="B22" s="7" t="s">
        <v>51</v>
      </c>
      <c r="C22" s="8" t="n">
        <f aca="false">IFERROR('Scenario Minutes'!C21/'Scenario Minutes'!$H21,0)</f>
        <v>0.384718702483528</v>
      </c>
      <c r="D22" s="8" t="n">
        <f aca="false">IFERROR('Scenario Minutes'!D21/'Scenario Minutes'!$H21,0)</f>
        <v>0.531018753167765</v>
      </c>
      <c r="E22" s="8" t="n">
        <f aca="false">IFERROR('Scenario Minutes'!E21/'Scenario Minutes'!$H21,0)</f>
        <v>0.000608210846426761</v>
      </c>
      <c r="F22" s="8" t="n">
        <f aca="false">IFERROR('Scenario Minutes'!F21/'Scenario Minutes'!$H21,0)</f>
        <v>0.0836543335022808</v>
      </c>
      <c r="G22" s="8" t="n">
        <f aca="false">IFERROR('Scenario Minutes'!G21/'Scenario Minutes'!$H21,0)</f>
        <v>0</v>
      </c>
    </row>
    <row r="23" customFormat="false" ht="15" hidden="false" customHeight="false" outlineLevel="0" collapsed="false">
      <c r="A23" s="7" t="s">
        <v>47</v>
      </c>
      <c r="B23" s="7" t="s">
        <v>51</v>
      </c>
      <c r="C23" s="8" t="n">
        <f aca="false">IFERROR('Scenario Minutes'!C22/'Scenario Minutes'!$H22,0)</f>
        <v>0.159782333586434</v>
      </c>
      <c r="D23" s="8" t="n">
        <f aca="false">IFERROR('Scenario Minutes'!D22/'Scenario Minutes'!$H22,0)</f>
        <v>0.665704884839281</v>
      </c>
      <c r="E23" s="8" t="n">
        <f aca="false">IFERROR('Scenario Minutes'!E22/'Scenario Minutes'!$H22,0)</f>
        <v>0</v>
      </c>
      <c r="F23" s="8" t="n">
        <f aca="false">IFERROR('Scenario Minutes'!F22/'Scenario Minutes'!$H22,0)</f>
        <v>0.174512781574285</v>
      </c>
      <c r="G23" s="8" t="n">
        <f aca="false">IFERROR('Scenario Minutes'!G22/'Scenario Minutes'!$H22,0)</f>
        <v>0</v>
      </c>
    </row>
    <row r="24" customFormat="false" ht="15" hidden="false" customHeight="false" outlineLevel="0" collapsed="false">
      <c r="A24" s="7" t="s">
        <v>48</v>
      </c>
      <c r="B24" s="7" t="s">
        <v>51</v>
      </c>
      <c r="C24" s="8" t="n">
        <f aca="false">IFERROR('Scenario Minutes'!C23/'Scenario Minutes'!$H23,0)</f>
        <v>0.345668075628338</v>
      </c>
      <c r="D24" s="8" t="n">
        <f aca="false">IFERROR('Scenario Minutes'!D23/'Scenario Minutes'!$H23,0)</f>
        <v>0.479131337163684</v>
      </c>
      <c r="E24" s="8" t="n">
        <f aca="false">IFERROR('Scenario Minutes'!E23/'Scenario Minutes'!$H23,0)</f>
        <v>0.128882026879951</v>
      </c>
      <c r="F24" s="8" t="n">
        <f aca="false">IFERROR('Scenario Minutes'!F23/'Scenario Minutes'!$H23,0)</f>
        <v>0.0463185603280265</v>
      </c>
      <c r="G24" s="8" t="n">
        <f aca="false">IFERROR('Scenario Minutes'!G23/'Scenario Minutes'!$H23,0)</f>
        <v>0</v>
      </c>
    </row>
    <row r="25" customFormat="false" ht="15" hidden="false" customHeight="false" outlineLevel="0" collapsed="false">
      <c r="A25" s="7" t="s">
        <v>43</v>
      </c>
      <c r="B25" s="7" t="s">
        <v>52</v>
      </c>
      <c r="C25" s="8" t="n">
        <f aca="false">IFERROR('Scenario Minutes'!C24/'Scenario Minutes'!$H24,0)</f>
        <v>0.327639948303388</v>
      </c>
      <c r="D25" s="8" t="n">
        <f aca="false">IFERROR('Scenario Minutes'!D24/'Scenario Minutes'!$H24,0)</f>
        <v>0.597019842376017</v>
      </c>
      <c r="E25" s="8" t="n">
        <f aca="false">IFERROR('Scenario Minutes'!E24/'Scenario Minutes'!$H24,0)</f>
        <v>0.0386204100250881</v>
      </c>
      <c r="F25" s="8" t="n">
        <f aca="false">IFERROR('Scenario Minutes'!F24/'Scenario Minutes'!$H24,0)</f>
        <v>0.036719799295507</v>
      </c>
      <c r="G25" s="8" t="n">
        <f aca="false">IFERROR('Scenario Minutes'!G24/'Scenario Minutes'!$H24,0)</f>
        <v>0</v>
      </c>
    </row>
    <row r="26" customFormat="false" ht="15" hidden="false" customHeight="false" outlineLevel="0" collapsed="false">
      <c r="A26" s="7" t="s">
        <v>45</v>
      </c>
      <c r="B26" s="7" t="s">
        <v>52</v>
      </c>
      <c r="C26" s="8" t="n">
        <f aca="false">IFERROR('Scenario Minutes'!C25/'Scenario Minutes'!$H25,0)</f>
        <v>0.420246169304195</v>
      </c>
      <c r="D26" s="8" t="n">
        <f aca="false">IFERROR('Scenario Minutes'!D25/'Scenario Minutes'!$H25,0)</f>
        <v>0.388721426777192</v>
      </c>
      <c r="E26" s="8" t="n">
        <f aca="false">IFERROR('Scenario Minutes'!E25/'Scenario Minutes'!$H25,0)</f>
        <v>0.186510926902788</v>
      </c>
      <c r="F26" s="8" t="n">
        <f aca="false">IFERROR('Scenario Minutes'!F25/'Scenario Minutes'!$H25,0)</f>
        <v>0.00452147701582517</v>
      </c>
      <c r="G26" s="8" t="n">
        <f aca="false">IFERROR('Scenario Minutes'!G25/'Scenario Minutes'!$H25,0)</f>
        <v>0</v>
      </c>
    </row>
    <row r="27" customFormat="false" ht="15" hidden="false" customHeight="false" outlineLevel="0" collapsed="false">
      <c r="A27" s="7" t="s">
        <v>46</v>
      </c>
      <c r="B27" s="7" t="s">
        <v>52</v>
      </c>
      <c r="C27" s="8" t="n">
        <f aca="false">IFERROR('Scenario Minutes'!C26/'Scenario Minutes'!$H26,0)</f>
        <v>0.290515515515516</v>
      </c>
      <c r="D27" s="8" t="n">
        <f aca="false">IFERROR('Scenario Minutes'!D26/'Scenario Minutes'!$H26,0)</f>
        <v>0.551476476476477</v>
      </c>
      <c r="E27" s="8" t="n">
        <f aca="false">IFERROR('Scenario Minutes'!E26/'Scenario Minutes'!$H26,0)</f>
        <v>0.136736736736737</v>
      </c>
      <c r="F27" s="8" t="n">
        <f aca="false">IFERROR('Scenario Minutes'!F26/'Scenario Minutes'!$H26,0)</f>
        <v>0.0212712712712713</v>
      </c>
      <c r="G27" s="8" t="n">
        <f aca="false">IFERROR('Scenario Minutes'!G26/'Scenario Minutes'!$H26,0)</f>
        <v>0</v>
      </c>
    </row>
    <row r="28" customFormat="false" ht="15" hidden="false" customHeight="false" outlineLevel="0" collapsed="false">
      <c r="A28" s="7" t="s">
        <v>47</v>
      </c>
      <c r="B28" s="7" t="s">
        <v>52</v>
      </c>
      <c r="C28" s="8" t="n">
        <f aca="false">IFERROR('Scenario Minutes'!C27/'Scenario Minutes'!$H27,0)</f>
        <v>0.604884839281195</v>
      </c>
      <c r="D28" s="8" t="n">
        <f aca="false">IFERROR('Scenario Minutes'!D27/'Scenario Minutes'!$H27,0)</f>
        <v>0.321513540875728</v>
      </c>
      <c r="E28" s="8" t="n">
        <f aca="false">IFERROR('Scenario Minutes'!E27/'Scenario Minutes'!$H27,0)</f>
        <v>0</v>
      </c>
      <c r="F28" s="8" t="n">
        <f aca="false">IFERROR('Scenario Minutes'!F27/'Scenario Minutes'!$H27,0)</f>
        <v>0.0736016198430777</v>
      </c>
      <c r="G28" s="8" t="n">
        <f aca="false">IFERROR('Scenario Minutes'!G27/'Scenario Minutes'!$H27,0)</f>
        <v>0</v>
      </c>
    </row>
    <row r="29" customFormat="false" ht="15" hidden="false" customHeight="false" outlineLevel="0" collapsed="false">
      <c r="A29" s="7" t="s">
        <v>48</v>
      </c>
      <c r="B29" s="7" t="s">
        <v>52</v>
      </c>
      <c r="C29" s="8" t="n">
        <f aca="false">IFERROR('Scenario Minutes'!C28/'Scenario Minutes'!$H28,0)</f>
        <v>0.438344722854973</v>
      </c>
      <c r="D29" s="8" t="n">
        <f aca="false">IFERROR('Scenario Minutes'!D28/'Scenario Minutes'!$H28,0)</f>
        <v>0.425715008858517</v>
      </c>
      <c r="E29" s="8" t="n">
        <f aca="false">IFERROR('Scenario Minutes'!E28/'Scenario Minutes'!$H28,0)</f>
        <v>0.0787648696532523</v>
      </c>
      <c r="F29" s="8" t="n">
        <f aca="false">IFERROR('Scenario Minutes'!F28/'Scenario Minutes'!$H28,0)</f>
        <v>0.0571753986332574</v>
      </c>
      <c r="G29" s="8" t="n">
        <f aca="false">IFERROR('Scenario Minutes'!G28/'Scenario Minutes'!$H28,0)</f>
        <v>0</v>
      </c>
    </row>
    <row r="30" customFormat="false" ht="15" hidden="false" customHeight="false" outlineLevel="0" collapsed="false">
      <c r="A30" s="7" t="s">
        <v>43</v>
      </c>
      <c r="B30" s="7" t="s">
        <v>53</v>
      </c>
      <c r="C30" s="8" t="n">
        <f aca="false">IFERROR('Scenario Minutes'!C29/'Scenario Minutes'!$H29,0)</f>
        <v>0.384287886467309</v>
      </c>
      <c r="D30" s="8" t="n">
        <f aca="false">IFERROR('Scenario Minutes'!D29/'Scenario Minutes'!$H29,0)</f>
        <v>0.484110491637101</v>
      </c>
      <c r="E30" s="8" t="n">
        <f aca="false">IFERROR('Scenario Minutes'!E29/'Scenario Minutes'!$H29,0)</f>
        <v>0.0772427774961987</v>
      </c>
      <c r="F30" s="8" t="n">
        <f aca="false">IFERROR('Scenario Minutes'!F29/'Scenario Minutes'!$H29,0)</f>
        <v>0.0543588443993918</v>
      </c>
      <c r="G30" s="8" t="n">
        <f aca="false">IFERROR('Scenario Minutes'!G29/'Scenario Minutes'!$H29,0)</f>
        <v>0</v>
      </c>
    </row>
    <row r="31" customFormat="false" ht="15" hidden="false" customHeight="false" outlineLevel="0" collapsed="false">
      <c r="A31" s="7" t="s">
        <v>45</v>
      </c>
      <c r="B31" s="7" t="s">
        <v>53</v>
      </c>
      <c r="C31" s="8" t="n">
        <f aca="false">IFERROR('Scenario Minutes'!C30/'Scenario Minutes'!$H30,0)</f>
        <v>0.256061368209256</v>
      </c>
      <c r="D31" s="8" t="n">
        <f aca="false">IFERROR('Scenario Minutes'!D30/'Scenario Minutes'!$H30,0)</f>
        <v>0.59942152917505</v>
      </c>
      <c r="E31" s="8" t="n">
        <f aca="false">IFERROR('Scenario Minutes'!E30/'Scenario Minutes'!$H30,0)</f>
        <v>0.100025150905433</v>
      </c>
      <c r="F31" s="8" t="n">
        <f aca="false">IFERROR('Scenario Minutes'!F30/'Scenario Minutes'!$H30,0)</f>
        <v>0.0444919517102616</v>
      </c>
      <c r="G31" s="8" t="n">
        <f aca="false">IFERROR('Scenario Minutes'!G30/'Scenario Minutes'!$H30,0)</f>
        <v>0</v>
      </c>
    </row>
    <row r="32" customFormat="false" ht="15" hidden="false" customHeight="false" outlineLevel="0" collapsed="false">
      <c r="A32" s="7" t="s">
        <v>46</v>
      </c>
      <c r="B32" s="7" t="s">
        <v>53</v>
      </c>
      <c r="C32" s="8" t="n">
        <f aca="false">IFERROR('Scenario Minutes'!C31/'Scenario Minutes'!$H31,0)</f>
        <v>0.218985104771522</v>
      </c>
      <c r="D32" s="8" t="n">
        <f aca="false">IFERROR('Scenario Minutes'!D31/'Scenario Minutes'!$H31,0)</f>
        <v>0.517823781873264</v>
      </c>
      <c r="E32" s="8" t="n">
        <f aca="false">IFERROR('Scenario Minutes'!E31/'Scenario Minutes'!$H31,0)</f>
        <v>0.222696288815956</v>
      </c>
      <c r="F32" s="8" t="n">
        <f aca="false">IFERROR('Scenario Minutes'!F31/'Scenario Minutes'!$H31,0)</f>
        <v>0.0404948245392578</v>
      </c>
      <c r="G32" s="8" t="n">
        <f aca="false">IFERROR('Scenario Minutes'!G31/'Scenario Minutes'!$H31,0)</f>
        <v>0</v>
      </c>
    </row>
    <row r="33" customFormat="false" ht="15" hidden="false" customHeight="false" outlineLevel="0" collapsed="false">
      <c r="A33" s="7" t="s">
        <v>47</v>
      </c>
      <c r="B33" s="7" t="s">
        <v>53</v>
      </c>
      <c r="C33" s="8" t="n">
        <f aca="false">IFERROR('Scenario Minutes'!C32/'Scenario Minutes'!$H32,0)</f>
        <v>0.497544925335358</v>
      </c>
      <c r="D33" s="8" t="n">
        <f aca="false">IFERROR('Scenario Minutes'!D32/'Scenario Minutes'!$H32,0)</f>
        <v>0.363047329789927</v>
      </c>
      <c r="E33" s="8" t="n">
        <f aca="false">IFERROR('Scenario Minutes'!E32/'Scenario Minutes'!$H32,0)</f>
        <v>0.061503416856492</v>
      </c>
      <c r="F33" s="8" t="n">
        <f aca="false">IFERROR('Scenario Minutes'!F32/'Scenario Minutes'!$H32,0)</f>
        <v>0.0779043280182232</v>
      </c>
      <c r="G33" s="8" t="n">
        <f aca="false">IFERROR('Scenario Minutes'!G32/'Scenario Minutes'!$H32,0)</f>
        <v>0</v>
      </c>
    </row>
    <row r="34" customFormat="false" ht="15" hidden="false" customHeight="false" outlineLevel="0" collapsed="false">
      <c r="A34" s="7" t="s">
        <v>48</v>
      </c>
      <c r="B34" s="7" t="s">
        <v>53</v>
      </c>
      <c r="C34" s="8" t="n">
        <f aca="false">IFERROR('Scenario Minutes'!C33/'Scenario Minutes'!$H33,0)</f>
        <v>0.164190437621808</v>
      </c>
      <c r="D34" s="8" t="n">
        <f aca="false">IFERROR('Scenario Minutes'!D33/'Scenario Minutes'!$H33,0)</f>
        <v>0.64106912349085</v>
      </c>
      <c r="E34" s="8" t="n">
        <f aca="false">IFERROR('Scenario Minutes'!E33/'Scenario Minutes'!$H33,0)</f>
        <v>0.155205143131945</v>
      </c>
      <c r="F34" s="8" t="n">
        <f aca="false">IFERROR('Scenario Minutes'!F33/'Scenario Minutes'!$H33,0)</f>
        <v>0.0395352957553975</v>
      </c>
      <c r="G34" s="8" t="n">
        <f aca="false">IFERROR('Scenario Minutes'!G33/'Scenario Minutes'!$H33,0)</f>
        <v>0</v>
      </c>
    </row>
    <row r="35" customFormat="false" ht="15" hidden="false" customHeight="false" outlineLevel="0" collapsed="false">
      <c r="A35" s="7" t="s">
        <v>43</v>
      </c>
      <c r="B35" s="7" t="s">
        <v>54</v>
      </c>
      <c r="C35" s="8" t="n">
        <f aca="false">IFERROR('Scenario Minutes'!C34/'Scenario Minutes'!$H34,0)</f>
        <v>0.355723722507656</v>
      </c>
      <c r="D35" s="8" t="n">
        <f aca="false">IFERROR('Scenario Minutes'!D34/'Scenario Minutes'!$H34,0)</f>
        <v>0.584343600516312</v>
      </c>
      <c r="E35" s="8" t="n">
        <f aca="false">IFERROR('Scenario Minutes'!E34/'Scenario Minutes'!$H34,0)</f>
        <v>0.00336615119840045</v>
      </c>
      <c r="F35" s="8" t="n">
        <f aca="false">IFERROR('Scenario Minutes'!F34/'Scenario Minutes'!$H34,0)</f>
        <v>0.0565665257776315</v>
      </c>
      <c r="G35" s="8" t="n">
        <f aca="false">IFERROR('Scenario Minutes'!G34/'Scenario Minutes'!$H34,0)</f>
        <v>0</v>
      </c>
    </row>
    <row r="36" customFormat="false" ht="15" hidden="false" customHeight="false" outlineLevel="0" collapsed="false">
      <c r="A36" s="7" t="s">
        <v>45</v>
      </c>
      <c r="B36" s="7" t="s">
        <v>54</v>
      </c>
      <c r="C36" s="8" t="n">
        <f aca="false">IFERROR('Scenario Minutes'!C35/'Scenario Minutes'!$H35,0)</f>
        <v>0.234596086302057</v>
      </c>
      <c r="D36" s="8" t="n">
        <f aca="false">IFERROR('Scenario Minutes'!D35/'Scenario Minutes'!$H35,0)</f>
        <v>0.595208228800803</v>
      </c>
      <c r="E36" s="8" t="n">
        <f aca="false">IFERROR('Scenario Minutes'!E35/'Scenario Minutes'!$H35,0)</f>
        <v>0.120396387355745</v>
      </c>
      <c r="F36" s="8" t="n">
        <f aca="false">IFERROR('Scenario Minutes'!F35/'Scenario Minutes'!$H35,0)</f>
        <v>0.0497992975413949</v>
      </c>
      <c r="G36" s="8" t="n">
        <f aca="false">IFERROR('Scenario Minutes'!G35/'Scenario Minutes'!$H35,0)</f>
        <v>0</v>
      </c>
    </row>
    <row r="37" customFormat="false" ht="15" hidden="false" customHeight="false" outlineLevel="0" collapsed="false">
      <c r="A37" s="7" t="s">
        <v>46</v>
      </c>
      <c r="B37" s="7" t="s">
        <v>54</v>
      </c>
      <c r="C37" s="8" t="n">
        <f aca="false">IFERROR('Scenario Minutes'!C36/'Scenario Minutes'!$H36,0)</f>
        <v>0.359071301700076</v>
      </c>
      <c r="D37" s="8" t="n">
        <f aca="false">IFERROR('Scenario Minutes'!D36/'Scenario Minutes'!$H36,0)</f>
        <v>0.493250444049734</v>
      </c>
      <c r="E37" s="8" t="n">
        <f aca="false">IFERROR('Scenario Minutes'!E36/'Scenario Minutes'!$H36,0)</f>
        <v>0.0717330626744481</v>
      </c>
      <c r="F37" s="8" t="n">
        <f aca="false">IFERROR('Scenario Minutes'!F36/'Scenario Minutes'!$H36,0)</f>
        <v>0.0759451915757422</v>
      </c>
      <c r="G37" s="8" t="n">
        <f aca="false">IFERROR('Scenario Minutes'!G36/'Scenario Minutes'!$H36,0)</f>
        <v>0</v>
      </c>
    </row>
    <row r="38" customFormat="false" ht="15" hidden="false" customHeight="false" outlineLevel="0" collapsed="false">
      <c r="A38" s="7" t="s">
        <v>47</v>
      </c>
      <c r="B38" s="7" t="s">
        <v>54</v>
      </c>
      <c r="C38" s="8" t="n">
        <f aca="false">IFERROR('Scenario Minutes'!C37/'Scenario Minutes'!$H37,0)</f>
        <v>0.445261023821592</v>
      </c>
      <c r="D38" s="8" t="n">
        <f aca="false">IFERROR('Scenario Minutes'!D37/'Scenario Minutes'!$H37,0)</f>
        <v>0.401039026862646</v>
      </c>
      <c r="E38" s="8" t="n">
        <f aca="false">IFERROR('Scenario Minutes'!E37/'Scenario Minutes'!$H37,0)</f>
        <v>0.0300810947795236</v>
      </c>
      <c r="F38" s="8" t="n">
        <f aca="false">IFERROR('Scenario Minutes'!F37/'Scenario Minutes'!$H37,0)</f>
        <v>0.123618854536239</v>
      </c>
      <c r="G38" s="8" t="n">
        <f aca="false">IFERROR('Scenario Minutes'!G37/'Scenario Minutes'!$H37,0)</f>
        <v>0</v>
      </c>
    </row>
    <row r="39" customFormat="false" ht="15" hidden="false" customHeight="false" outlineLevel="0" collapsed="false">
      <c r="A39" s="7" t="s">
        <v>48</v>
      </c>
      <c r="B39" s="7" t="s">
        <v>54</v>
      </c>
      <c r="C39" s="8" t="n">
        <f aca="false">IFERROR('Scenario Minutes'!C38/'Scenario Minutes'!$H38,0)</f>
        <v>0.36599430888167</v>
      </c>
      <c r="D39" s="8" t="n">
        <f aca="false">IFERROR('Scenario Minutes'!D38/'Scenario Minutes'!$H38,0)</f>
        <v>0.530230918385334</v>
      </c>
      <c r="E39" s="8" t="n">
        <f aca="false">IFERROR('Scenario Minutes'!E38/'Scenario Minutes'!$H38,0)</f>
        <v>0.0339704364030118</v>
      </c>
      <c r="F39" s="8" t="n">
        <f aca="false">IFERROR('Scenario Minutes'!F38/'Scenario Minutes'!$H38,0)</f>
        <v>0.0698043363299841</v>
      </c>
      <c r="G39" s="8" t="n">
        <f aca="false">IFERROR('Scenario Minutes'!G38/'Scenario Minutes'!$H38,0)</f>
        <v>0</v>
      </c>
    </row>
    <row r="40" customFormat="false" ht="15" hidden="false" customHeight="false" outlineLevel="0" collapsed="false">
      <c r="A40" s="7" t="s">
        <v>43</v>
      </c>
      <c r="B40" s="7" t="s">
        <v>55</v>
      </c>
      <c r="C40" s="8" t="n">
        <f aca="false">IFERROR('Scenario Minutes'!C39/'Scenario Minutes'!$H39,0)</f>
        <v>0.124261550113608</v>
      </c>
      <c r="D40" s="8" t="n">
        <f aca="false">IFERROR('Scenario Minutes'!D39/'Scenario Minutes'!$H39,0)</f>
        <v>0.482655894976016</v>
      </c>
      <c r="E40" s="8" t="n">
        <f aca="false">IFERROR('Scenario Minutes'!E39/'Scenario Minutes'!$H39,0)</f>
        <v>0.237667255743499</v>
      </c>
      <c r="F40" s="8" t="n">
        <f aca="false">IFERROR('Scenario Minutes'!F39/'Scenario Minutes'!$H39,0)</f>
        <v>0.155415299166877</v>
      </c>
      <c r="G40" s="8" t="n">
        <f aca="false">IFERROR('Scenario Minutes'!G39/'Scenario Minutes'!$H39,0)</f>
        <v>0</v>
      </c>
    </row>
    <row r="41" customFormat="false" ht="15" hidden="false" customHeight="false" outlineLevel="0" collapsed="false">
      <c r="A41" s="7" t="s">
        <v>45</v>
      </c>
      <c r="B41" s="7" t="s">
        <v>55</v>
      </c>
      <c r="C41" s="8" t="n">
        <f aca="false">IFERROR('Scenario Minutes'!C40/'Scenario Minutes'!$H40,0)</f>
        <v>0.154568463680081</v>
      </c>
      <c r="D41" s="8" t="n">
        <f aca="false">IFERROR('Scenario Minutes'!D40/'Scenario Minutes'!$H40,0)</f>
        <v>0.551328777524677</v>
      </c>
      <c r="E41" s="8" t="n">
        <f aca="false">IFERROR('Scenario Minutes'!E40/'Scenario Minutes'!$H40,0)</f>
        <v>0.178688939508985</v>
      </c>
      <c r="F41" s="8" t="n">
        <f aca="false">IFERROR('Scenario Minutes'!F40/'Scenario Minutes'!$H40,0)</f>
        <v>0.115413819286257</v>
      </c>
      <c r="G41" s="8" t="n">
        <f aca="false">IFERROR('Scenario Minutes'!G40/'Scenario Minutes'!$H40,0)</f>
        <v>0</v>
      </c>
    </row>
    <row r="42" customFormat="false" ht="15" hidden="false" customHeight="false" outlineLevel="0" collapsed="false">
      <c r="A42" s="7" t="s">
        <v>46</v>
      </c>
      <c r="B42" s="7" t="s">
        <v>55</v>
      </c>
      <c r="C42" s="8" t="n">
        <f aca="false">IFERROR('Scenario Minutes'!C41/'Scenario Minutes'!$H41,0)</f>
        <v>0.170971834559756</v>
      </c>
      <c r="D42" s="8" t="n">
        <f aca="false">IFERROR('Scenario Minutes'!D41/'Scenario Minutes'!$H41,0)</f>
        <v>0.486957624968282</v>
      </c>
      <c r="E42" s="8" t="n">
        <f aca="false">IFERROR('Scenario Minutes'!E41/'Scenario Minutes'!$H41,0)</f>
        <v>0.243187008373509</v>
      </c>
      <c r="F42" s="8" t="n">
        <f aca="false">IFERROR('Scenario Minutes'!F41/'Scenario Minutes'!$H41,0)</f>
        <v>0.0988835320984522</v>
      </c>
      <c r="G42" s="8" t="n">
        <f aca="false">IFERROR('Scenario Minutes'!G41/'Scenario Minutes'!$H41,0)</f>
        <v>0</v>
      </c>
    </row>
    <row r="43" customFormat="false" ht="15" hidden="false" customHeight="false" outlineLevel="0" collapsed="false">
      <c r="A43" s="7" t="s">
        <v>47</v>
      </c>
      <c r="B43" s="7" t="s">
        <v>55</v>
      </c>
      <c r="C43" s="8" t="n">
        <f aca="false">IFERROR('Scenario Minutes'!C42/'Scenario Minutes'!$H42,0)</f>
        <v>0.219813150008814</v>
      </c>
      <c r="D43" s="8" t="n">
        <f aca="false">IFERROR('Scenario Minutes'!D42/'Scenario Minutes'!$H42,0)</f>
        <v>0.619551257837879</v>
      </c>
      <c r="E43" s="8" t="n">
        <f aca="false">IFERROR('Scenario Minutes'!E42/'Scenario Minutes'!$H42,0)</f>
        <v>0.107249880385787</v>
      </c>
      <c r="F43" s="8" t="n">
        <f aca="false">IFERROR('Scenario Minutes'!F42/'Scenario Minutes'!$H42,0)</f>
        <v>0.0533857117675203</v>
      </c>
      <c r="G43" s="8" t="n">
        <f aca="false">IFERROR('Scenario Minutes'!G42/'Scenario Minutes'!$H42,0)</f>
        <v>0</v>
      </c>
    </row>
    <row r="44" customFormat="false" ht="15" hidden="false" customHeight="false" outlineLevel="0" collapsed="false">
      <c r="A44" s="7" t="s">
        <v>48</v>
      </c>
      <c r="B44" s="7" t="s">
        <v>55</v>
      </c>
      <c r="C44" s="8" t="n">
        <f aca="false">IFERROR('Scenario Minutes'!C43/'Scenario Minutes'!$H43,0)</f>
        <v>0.338861013547416</v>
      </c>
      <c r="D44" s="8" t="n">
        <f aca="false">IFERROR('Scenario Minutes'!D43/'Scenario Minutes'!$H43,0)</f>
        <v>0.474836929252383</v>
      </c>
      <c r="E44" s="8" t="n">
        <f aca="false">IFERROR('Scenario Minutes'!E43/'Scenario Minutes'!$H43,0)</f>
        <v>0.101505268439538</v>
      </c>
      <c r="F44" s="8" t="n">
        <f aca="false">IFERROR('Scenario Minutes'!F43/'Scenario Minutes'!$H43,0)</f>
        <v>0.0847967887606623</v>
      </c>
      <c r="G44" s="8" t="n">
        <f aca="false">IFERROR('Scenario Minutes'!G43/'Scenario Minutes'!$H43,0)</f>
        <v>0</v>
      </c>
    </row>
    <row r="45" customFormat="false" ht="15" hidden="false" customHeight="false" outlineLevel="0" collapsed="false">
      <c r="A45" s="7" t="s">
        <v>43</v>
      </c>
      <c r="B45" s="7" t="s">
        <v>56</v>
      </c>
      <c r="C45" s="8" t="n">
        <f aca="false">IFERROR('Scenario Minutes'!C44/'Scenario Minutes'!$H44,0)</f>
        <v>0.238012183716286</v>
      </c>
      <c r="D45" s="8" t="n">
        <f aca="false">IFERROR('Scenario Minutes'!D44/'Scenario Minutes'!$H44,0)</f>
        <v>0.565152549227775</v>
      </c>
      <c r="E45" s="8" t="n">
        <f aca="false">IFERROR('Scenario Minutes'!E44/'Scenario Minutes'!$H44,0)</f>
        <v>0.143904350243927</v>
      </c>
      <c r="F45" s="8" t="n">
        <f aca="false">IFERROR('Scenario Minutes'!F44/'Scenario Minutes'!$H44,0)</f>
        <v>0.0529309168120118</v>
      </c>
      <c r="G45" s="8" t="n">
        <f aca="false">IFERROR('Scenario Minutes'!G44/'Scenario Minutes'!$H44,0)</f>
        <v>0</v>
      </c>
    </row>
    <row r="46" customFormat="false" ht="15" hidden="false" customHeight="false" outlineLevel="0" collapsed="false">
      <c r="A46" s="7" t="s">
        <v>45</v>
      </c>
      <c r="B46" s="7" t="s">
        <v>56</v>
      </c>
      <c r="C46" s="8" t="n">
        <f aca="false">IFERROR('Scenario Minutes'!C45/'Scenario Minutes'!$H45,0)</f>
        <v>0.429779606674914</v>
      </c>
      <c r="D46" s="8" t="n">
        <f aca="false">IFERROR('Scenario Minutes'!D45/'Scenario Minutes'!$H45,0)</f>
        <v>0.483779758147989</v>
      </c>
      <c r="E46" s="8" t="n">
        <f aca="false">IFERROR('Scenario Minutes'!E45/'Scenario Minutes'!$H45,0)</f>
        <v>0.0290323395016536</v>
      </c>
      <c r="F46" s="8" t="n">
        <f aca="false">IFERROR('Scenario Minutes'!F45/'Scenario Minutes'!$H45,0)</f>
        <v>0.0574082956754437</v>
      </c>
      <c r="G46" s="8" t="n">
        <f aca="false">IFERROR('Scenario Minutes'!G45/'Scenario Minutes'!$H45,0)</f>
        <v>0</v>
      </c>
    </row>
    <row r="47" customFormat="false" ht="15" hidden="false" customHeight="false" outlineLevel="0" collapsed="false">
      <c r="A47" s="7" t="s">
        <v>46</v>
      </c>
      <c r="B47" s="7" t="s">
        <v>56</v>
      </c>
      <c r="C47" s="8" t="n">
        <f aca="false">IFERROR('Scenario Minutes'!C46/'Scenario Minutes'!$H46,0)</f>
        <v>0.17742343710453</v>
      </c>
      <c r="D47" s="8" t="n">
        <f aca="false">IFERROR('Scenario Minutes'!D46/'Scenario Minutes'!$H46,0)</f>
        <v>0.612933434573526</v>
      </c>
      <c r="E47" s="8" t="n">
        <f aca="false">IFERROR('Scenario Minutes'!E46/'Scenario Minutes'!$H46,0)</f>
        <v>0.122753733232093</v>
      </c>
      <c r="F47" s="8" t="n">
        <f aca="false">IFERROR('Scenario Minutes'!F46/'Scenario Minutes'!$H46,0)</f>
        <v>0.0868893950898507</v>
      </c>
      <c r="G47" s="8" t="n">
        <f aca="false">IFERROR('Scenario Minutes'!G46/'Scenario Minutes'!$H46,0)</f>
        <v>0</v>
      </c>
    </row>
    <row r="48" customFormat="false" ht="15" hidden="false" customHeight="false" outlineLevel="0" collapsed="false">
      <c r="A48" s="7" t="s">
        <v>47</v>
      </c>
      <c r="B48" s="7" t="s">
        <v>56</v>
      </c>
      <c r="C48" s="8" t="n">
        <f aca="false">IFERROR('Scenario Minutes'!C47/'Scenario Minutes'!$H47,0)</f>
        <v>0.332062610451906</v>
      </c>
      <c r="D48" s="8" t="n">
        <f aca="false">IFERROR('Scenario Minutes'!D47/'Scenario Minutes'!$H47,0)</f>
        <v>0.378843726331734</v>
      </c>
      <c r="E48" s="8" t="n">
        <f aca="false">IFERROR('Scenario Minutes'!E47/'Scenario Minutes'!$H47,0)</f>
        <v>0.193637970209543</v>
      </c>
      <c r="F48" s="8" t="n">
        <f aca="false">IFERROR('Scenario Minutes'!F47/'Scenario Minutes'!$H47,0)</f>
        <v>0.0954556930068165</v>
      </c>
      <c r="G48" s="8" t="n">
        <f aca="false">IFERROR('Scenario Minutes'!G47/'Scenario Minutes'!$H47,0)</f>
        <v>0</v>
      </c>
    </row>
    <row r="49" customFormat="false" ht="15" hidden="false" customHeight="false" outlineLevel="0" collapsed="false">
      <c r="A49" s="7" t="s">
        <v>48</v>
      </c>
      <c r="B49" s="7" t="s">
        <v>56</v>
      </c>
      <c r="C49" s="8" t="n">
        <f aca="false">IFERROR('Scenario Minutes'!C48/'Scenario Minutes'!$H48,0)</f>
        <v>0.310242104465931</v>
      </c>
      <c r="D49" s="8" t="n">
        <f aca="false">IFERROR('Scenario Minutes'!D48/'Scenario Minutes'!$H48,0)</f>
        <v>0.419050263815607</v>
      </c>
      <c r="E49" s="8" t="n">
        <f aca="false">IFERROR('Scenario Minutes'!E48/'Scenario Minutes'!$H48,0)</f>
        <v>0.135416929640756</v>
      </c>
      <c r="F49" s="8" t="n">
        <f aca="false">IFERROR('Scenario Minutes'!F48/'Scenario Minutes'!$H48,0)</f>
        <v>0.135290702077706</v>
      </c>
      <c r="G49" s="8" t="n">
        <f aca="false">IFERROR('Scenario Minutes'!G48/'Scenario Minutes'!$H48,0)</f>
        <v>0</v>
      </c>
    </row>
    <row r="50" customFormat="false" ht="15" hidden="false" customHeight="false" outlineLevel="0" collapsed="false">
      <c r="A50" s="7" t="s">
        <v>43</v>
      </c>
      <c r="B50" s="7" t="s">
        <v>57</v>
      </c>
      <c r="C50" s="8" t="n">
        <f aca="false">IFERROR('Scenario Minutes'!C49/'Scenario Minutes'!$H49,0)</f>
        <v>0.490826153066396</v>
      </c>
      <c r="D50" s="8" t="n">
        <f aca="false">IFERROR('Scenario Minutes'!D49/'Scenario Minutes'!$H49,0)</f>
        <v>0.349695894576787</v>
      </c>
      <c r="E50" s="8" t="n">
        <f aca="false">IFERROR('Scenario Minutes'!E49/'Scenario Minutes'!$H49,0)</f>
        <v>0.113786112519007</v>
      </c>
      <c r="F50" s="8" t="n">
        <f aca="false">IFERROR('Scenario Minutes'!F49/'Scenario Minutes'!$H49,0)</f>
        <v>0.0456918398378104</v>
      </c>
      <c r="G50" s="8" t="n">
        <f aca="false">IFERROR('Scenario Minutes'!G49/'Scenario Minutes'!$H49,0)</f>
        <v>0</v>
      </c>
    </row>
    <row r="51" customFormat="false" ht="15" hidden="false" customHeight="false" outlineLevel="0" collapsed="false">
      <c r="A51" s="7" t="s">
        <v>45</v>
      </c>
      <c r="B51" s="7" t="s">
        <v>57</v>
      </c>
      <c r="C51" s="8" t="n">
        <f aca="false">IFERROR('Scenario Minutes'!C50/'Scenario Minutes'!$H50,0)</f>
        <v>0.204770669961421</v>
      </c>
      <c r="D51" s="8" t="n">
        <f aca="false">IFERROR('Scenario Minutes'!D50/'Scenario Minutes'!$H50,0)</f>
        <v>0.610933205577549</v>
      </c>
      <c r="E51" s="8" t="n">
        <f aca="false">IFERROR('Scenario Minutes'!E50/'Scenario Minutes'!$H50,0)</f>
        <v>0.0833606495373055</v>
      </c>
      <c r="F51" s="8" t="n">
        <f aca="false">IFERROR('Scenario Minutes'!F50/'Scenario Minutes'!$H50,0)</f>
        <v>0.100935474923725</v>
      </c>
      <c r="G51" s="8" t="n">
        <f aca="false">IFERROR('Scenario Minutes'!G50/'Scenario Minutes'!$H50,0)</f>
        <v>0</v>
      </c>
    </row>
    <row r="52" customFormat="false" ht="15" hidden="false" customHeight="false" outlineLevel="0" collapsed="false">
      <c r="A52" s="7" t="s">
        <v>46</v>
      </c>
      <c r="B52" s="7" t="s">
        <v>57</v>
      </c>
      <c r="C52" s="8" t="n">
        <f aca="false">IFERROR('Scenario Minutes'!C51/'Scenario Minutes'!$H51,0)</f>
        <v>0.393620776601109</v>
      </c>
      <c r="D52" s="8" t="n">
        <f aca="false">IFERROR('Scenario Minutes'!D51/'Scenario Minutes'!$H51,0)</f>
        <v>0.523071104387292</v>
      </c>
      <c r="E52" s="8" t="n">
        <f aca="false">IFERROR('Scenario Minutes'!E51/'Scenario Minutes'!$H51,0)</f>
        <v>0.0396873424104892</v>
      </c>
      <c r="F52" s="8" t="n">
        <f aca="false">IFERROR('Scenario Minutes'!F51/'Scenario Minutes'!$H51,0)</f>
        <v>0.0436207766011094</v>
      </c>
      <c r="G52" s="8" t="n">
        <f aca="false">IFERROR('Scenario Minutes'!G51/'Scenario Minutes'!$H51,0)</f>
        <v>0</v>
      </c>
    </row>
    <row r="53" customFormat="false" ht="15" hidden="false" customHeight="false" outlineLevel="0" collapsed="false">
      <c r="A53" s="7" t="s">
        <v>47</v>
      </c>
      <c r="B53" s="7" t="s">
        <v>57</v>
      </c>
      <c r="C53" s="8" t="n">
        <f aca="false">IFERROR('Scenario Minutes'!C52/'Scenario Minutes'!$H52,0)</f>
        <v>0.32300245812321</v>
      </c>
      <c r="D53" s="8" t="n">
        <f aca="false">IFERROR('Scenario Minutes'!D52/'Scenario Minutes'!$H52,0)</f>
        <v>0.541116545449938</v>
      </c>
      <c r="E53" s="8" t="n">
        <f aca="false">IFERROR('Scenario Minutes'!E52/'Scenario Minutes'!$H52,0)</f>
        <v>0</v>
      </c>
      <c r="F53" s="8" t="n">
        <f aca="false">IFERROR('Scenario Minutes'!F52/'Scenario Minutes'!$H52,0)</f>
        <v>0.135880996426852</v>
      </c>
      <c r="G53" s="8" t="n">
        <f aca="false">IFERROR('Scenario Minutes'!G52/'Scenario Minutes'!$H52,0)</f>
        <v>0</v>
      </c>
    </row>
    <row r="54" customFormat="false" ht="15" hidden="false" customHeight="false" outlineLevel="0" collapsed="false">
      <c r="A54" s="7" t="s">
        <v>48</v>
      </c>
      <c r="B54" s="7" t="s">
        <v>57</v>
      </c>
      <c r="C54" s="8" t="n">
        <f aca="false">IFERROR('Scenario Minutes'!C53/'Scenario Minutes'!$H53,0)</f>
        <v>0.379878818480182</v>
      </c>
      <c r="D54" s="8" t="n">
        <f aca="false">IFERROR('Scenario Minutes'!D53/'Scenario Minutes'!$H53,0)</f>
        <v>0.43352688714971</v>
      </c>
      <c r="E54" s="8" t="n">
        <f aca="false">IFERROR('Scenario Minutes'!E53/'Scenario Minutes'!$H53,0)</f>
        <v>0</v>
      </c>
      <c r="F54" s="8" t="n">
        <f aca="false">IFERROR('Scenario Minutes'!F53/'Scenario Minutes'!$H53,0)</f>
        <v>0.186594294370109</v>
      </c>
      <c r="G54" s="8" t="n">
        <f aca="false">IFERROR('Scenario Minutes'!G53/'Scenario Minutes'!$H53,0)</f>
        <v>0</v>
      </c>
    </row>
    <row r="55" customFormat="false" ht="15" hidden="false" customHeight="false" outlineLevel="0" collapsed="false">
      <c r="A55" s="7" t="s">
        <v>43</v>
      </c>
      <c r="B55" s="7" t="s">
        <v>58</v>
      </c>
      <c r="C55" s="8" t="n">
        <f aca="false">IFERROR('Scenario Minutes'!C54/'Scenario Minutes'!$H54,0)</f>
        <v>0.271652746140218</v>
      </c>
      <c r="D55" s="8" t="n">
        <f aca="false">IFERROR('Scenario Minutes'!D54/'Scenario Minutes'!$H54,0)</f>
        <v>0.509288787648697</v>
      </c>
      <c r="E55" s="8" t="n">
        <f aca="false">IFERROR('Scenario Minutes'!E54/'Scenario Minutes'!$H54,0)</f>
        <v>0.0890407491774234</v>
      </c>
      <c r="F55" s="8" t="n">
        <f aca="false">IFERROR('Scenario Minutes'!F54/'Scenario Minutes'!$H54,0)</f>
        <v>0.130017717033662</v>
      </c>
      <c r="G55" s="8" t="n">
        <f aca="false">IFERROR('Scenario Minutes'!G54/'Scenario Minutes'!$H54,0)</f>
        <v>0</v>
      </c>
    </row>
    <row r="56" customFormat="false" ht="15" hidden="false" customHeight="false" outlineLevel="0" collapsed="false">
      <c r="A56" s="7" t="s">
        <v>45</v>
      </c>
      <c r="B56" s="7" t="s">
        <v>58</v>
      </c>
      <c r="C56" s="8" t="n">
        <f aca="false">IFERROR('Scenario Minutes'!C55/'Scenario Minutes'!$H55,0)</f>
        <v>0.182713237155151</v>
      </c>
      <c r="D56" s="8" t="n">
        <f aca="false">IFERROR('Scenario Minutes'!D55/'Scenario Minutes'!$H55,0)</f>
        <v>0.508959757023538</v>
      </c>
      <c r="E56" s="8" t="n">
        <f aca="false">IFERROR('Scenario Minutes'!E55/'Scenario Minutes'!$H55,0)</f>
        <v>0.27101999493799</v>
      </c>
      <c r="F56" s="8" t="n">
        <f aca="false">IFERROR('Scenario Minutes'!F55/'Scenario Minutes'!$H55,0)</f>
        <v>0.0373070108833207</v>
      </c>
      <c r="G56" s="8" t="n">
        <f aca="false">IFERROR('Scenario Minutes'!G55/'Scenario Minutes'!$H55,0)</f>
        <v>0</v>
      </c>
    </row>
    <row r="57" customFormat="false" ht="15" hidden="false" customHeight="false" outlineLevel="0" collapsed="false">
      <c r="A57" s="7" t="s">
        <v>46</v>
      </c>
      <c r="B57" s="7" t="s">
        <v>58</v>
      </c>
      <c r="C57" s="8" t="n">
        <f aca="false">IFERROR('Scenario Minutes'!C56/'Scenario Minutes'!$H56,0)</f>
        <v>0.220926718710652</v>
      </c>
      <c r="D57" s="8" t="n">
        <f aca="false">IFERROR('Scenario Minutes'!D56/'Scenario Minutes'!$H56,0)</f>
        <v>0.517300428103752</v>
      </c>
      <c r="E57" s="8" t="n">
        <f aca="false">IFERROR('Scenario Minutes'!E56/'Scenario Minutes'!$H56,0)</f>
        <v>0.189876605389071</v>
      </c>
      <c r="F57" s="8" t="n">
        <f aca="false">IFERROR('Scenario Minutes'!F56/'Scenario Minutes'!$H56,0)</f>
        <v>0.0393099974817426</v>
      </c>
      <c r="G57" s="8" t="n">
        <f aca="false">IFERROR('Scenario Minutes'!G56/'Scenario Minutes'!$H56,0)</f>
        <v>0.0325862503147822</v>
      </c>
    </row>
    <row r="58" customFormat="false" ht="15" hidden="false" customHeight="false" outlineLevel="0" collapsed="false">
      <c r="A58" s="7" t="s">
        <v>47</v>
      </c>
      <c r="B58" s="7" t="s">
        <v>58</v>
      </c>
      <c r="C58" s="8" t="n">
        <f aca="false">IFERROR('Scenario Minutes'!C57/'Scenario Minutes'!$H57,0)</f>
        <v>0.133847320525784</v>
      </c>
      <c r="D58" s="8" t="n">
        <f aca="false">IFERROR('Scenario Minutes'!D57/'Scenario Minutes'!$H57,0)</f>
        <v>0.544261880687563</v>
      </c>
      <c r="E58" s="8" t="n">
        <f aca="false">IFERROR('Scenario Minutes'!E57/'Scenario Minutes'!$H57,0)</f>
        <v>0.26716380182002</v>
      </c>
      <c r="F58" s="8" t="n">
        <f aca="false">IFERROR('Scenario Minutes'!F57/'Scenario Minutes'!$H57,0)</f>
        <v>0.054726996966633</v>
      </c>
      <c r="G58" s="8" t="n">
        <f aca="false">IFERROR('Scenario Minutes'!G57/'Scenario Minutes'!$H57,0)</f>
        <v>0</v>
      </c>
    </row>
    <row r="59" customFormat="false" ht="15" hidden="false" customHeight="false" outlineLevel="0" collapsed="false">
      <c r="A59" s="7" t="s">
        <v>48</v>
      </c>
      <c r="B59" s="7" t="s">
        <v>58</v>
      </c>
      <c r="C59" s="8" t="n">
        <f aca="false">IFERROR('Scenario Minutes'!C58/'Scenario Minutes'!$H58,0)</f>
        <v>0.366114041698066</v>
      </c>
      <c r="D59" s="8" t="n">
        <f aca="false">IFERROR('Scenario Minutes'!D58/'Scenario Minutes'!$H58,0)</f>
        <v>0.5882190404421</v>
      </c>
      <c r="E59" s="8" t="n">
        <f aca="false">IFERROR('Scenario Minutes'!E58/'Scenario Minutes'!$H58,0)</f>
        <v>0</v>
      </c>
      <c r="F59" s="8" t="n">
        <f aca="false">IFERROR('Scenario Minutes'!F58/'Scenario Minutes'!$H58,0)</f>
        <v>0.0456669178598342</v>
      </c>
      <c r="G59" s="8" t="n">
        <f aca="false">IFERROR('Scenario Minutes'!G58/'Scenario Minutes'!$H58,0)</f>
        <v>0</v>
      </c>
    </row>
    <row r="60" customFormat="false" ht="15" hidden="false" customHeight="false" outlineLevel="0" collapsed="false">
      <c r="A60" s="7" t="s">
        <v>43</v>
      </c>
      <c r="B60" s="7" t="s">
        <v>59</v>
      </c>
      <c r="C60" s="8" t="n">
        <f aca="false">IFERROR('Scenario Minutes'!C59/'Scenario Minutes'!$H59,0)</f>
        <v>0.241851106639839</v>
      </c>
      <c r="D60" s="8" t="n">
        <f aca="false">IFERROR('Scenario Minutes'!D59/'Scenario Minutes'!$H59,0)</f>
        <v>0.673264587525151</v>
      </c>
      <c r="E60" s="8" t="n">
        <f aca="false">IFERROR('Scenario Minutes'!E59/'Scenario Minutes'!$H59,0)</f>
        <v>0.0123993963782696</v>
      </c>
      <c r="F60" s="8" t="n">
        <f aca="false">IFERROR('Scenario Minutes'!F59/'Scenario Minutes'!$H59,0)</f>
        <v>0.0724849094567404</v>
      </c>
      <c r="G60" s="8" t="n">
        <f aca="false">IFERROR('Scenario Minutes'!G59/'Scenario Minutes'!$H59,0)</f>
        <v>0</v>
      </c>
    </row>
    <row r="61" customFormat="false" ht="15" hidden="false" customHeight="false" outlineLevel="0" collapsed="false">
      <c r="A61" s="7" t="s">
        <v>45</v>
      </c>
      <c r="B61" s="7" t="s">
        <v>59</v>
      </c>
      <c r="C61" s="8" t="n">
        <f aca="false">IFERROR('Scenario Minutes'!C60/'Scenario Minutes'!$H60,0)</f>
        <v>0.203113135914958</v>
      </c>
      <c r="D61" s="8" t="n">
        <f aca="false">IFERROR('Scenario Minutes'!D60/'Scenario Minutes'!$H60,0)</f>
        <v>0.614173626929891</v>
      </c>
      <c r="E61" s="8" t="n">
        <f aca="false">IFERROR('Scenario Minutes'!E60/'Scenario Minutes'!$H60,0)</f>
        <v>0.105163249810175</v>
      </c>
      <c r="F61" s="8" t="n">
        <f aca="false">IFERROR('Scenario Minutes'!F60/'Scenario Minutes'!$H60,0)</f>
        <v>0.077549987344976</v>
      </c>
      <c r="G61" s="8" t="n">
        <f aca="false">IFERROR('Scenario Minutes'!G60/'Scenario Minutes'!$H60,0)</f>
        <v>0</v>
      </c>
    </row>
    <row r="62" customFormat="false" ht="15" hidden="false" customHeight="false" outlineLevel="0" collapsed="false">
      <c r="A62" s="7" t="s">
        <v>46</v>
      </c>
      <c r="B62" s="7" t="s">
        <v>59</v>
      </c>
      <c r="C62" s="8" t="n">
        <f aca="false">IFERROR('Scenario Minutes'!C61/'Scenario Minutes'!$H61,0)</f>
        <v>0.343297216371895</v>
      </c>
      <c r="D62" s="8" t="n">
        <f aca="false">IFERROR('Scenario Minutes'!D61/'Scenario Minutes'!$H61,0)</f>
        <v>0.422999822375599</v>
      </c>
      <c r="E62" s="8" t="n">
        <f aca="false">IFERROR('Scenario Minutes'!E61/'Scenario Minutes'!$H61,0)</f>
        <v>0.116623106397016</v>
      </c>
      <c r="F62" s="8" t="n">
        <f aca="false">IFERROR('Scenario Minutes'!F61/'Scenario Minutes'!$H61,0)</f>
        <v>0.11707985485549</v>
      </c>
      <c r="G62" s="8" t="n">
        <f aca="false">IFERROR('Scenario Minutes'!G61/'Scenario Minutes'!$H61,0)</f>
        <v>0</v>
      </c>
    </row>
    <row r="63" customFormat="false" ht="15" hidden="false" customHeight="false" outlineLevel="0" collapsed="false">
      <c r="A63" s="7" t="s">
        <v>47</v>
      </c>
      <c r="B63" s="7" t="s">
        <v>59</v>
      </c>
      <c r="C63" s="8" t="n">
        <f aca="false">IFERROR('Scenario Minutes'!C62/'Scenario Minutes'!$H62,0)</f>
        <v>0.380206497104004</v>
      </c>
      <c r="D63" s="8" t="n">
        <f aca="false">IFERROR('Scenario Minutes'!D62/'Scenario Minutes'!$H62,0)</f>
        <v>0.345781918912113</v>
      </c>
      <c r="E63" s="8" t="n">
        <f aca="false">IFERROR('Scenario Minutes'!E62/'Scenario Minutes'!$H62,0)</f>
        <v>0.22409972299169</v>
      </c>
      <c r="F63" s="8" t="n">
        <f aca="false">IFERROR('Scenario Minutes'!F62/'Scenario Minutes'!$H62,0)</f>
        <v>0.0499118609921934</v>
      </c>
      <c r="G63" s="8" t="n">
        <f aca="false">IFERROR('Scenario Minutes'!G62/'Scenario Minutes'!$H62,0)</f>
        <v>0</v>
      </c>
    </row>
    <row r="64" customFormat="false" ht="15" hidden="false" customHeight="false" outlineLevel="0" collapsed="false">
      <c r="A64" s="7" t="s">
        <v>48</v>
      </c>
      <c r="B64" s="7" t="s">
        <v>59</v>
      </c>
      <c r="C64" s="8" t="n">
        <f aca="false">IFERROR('Scenario Minutes'!C63/'Scenario Minutes'!$H63,0)</f>
        <v>0.357343524588089</v>
      </c>
      <c r="D64" s="8" t="n">
        <f aca="false">IFERROR('Scenario Minutes'!D63/'Scenario Minutes'!$H63,0)</f>
        <v>0.428614816127154</v>
      </c>
      <c r="E64" s="8" t="n">
        <f aca="false">IFERROR('Scenario Minutes'!E63/'Scenario Minutes'!$H63,0)</f>
        <v>0.00101237630027081</v>
      </c>
      <c r="F64" s="8" t="n">
        <f aca="false">IFERROR('Scenario Minutes'!F63/'Scenario Minutes'!$H63,0)</f>
        <v>0.213029282984485</v>
      </c>
      <c r="G64" s="8" t="n">
        <f aca="false">IFERROR('Scenario Minutes'!G63/'Scenario Minutes'!$H63,0)</f>
        <v>0</v>
      </c>
    </row>
    <row r="65" customFormat="false" ht="15" hidden="false" customHeight="false" outlineLevel="0" collapsed="false">
      <c r="A65" s="7" t="s">
        <v>43</v>
      </c>
      <c r="B65" s="7" t="s">
        <v>60</v>
      </c>
      <c r="C65" s="8" t="n">
        <f aca="false">IFERROR('Scenario Minutes'!C64/'Scenario Minutes'!$H64,0)</f>
        <v>0.280460060667341</v>
      </c>
      <c r="D65" s="8" t="n">
        <f aca="false">IFERROR('Scenario Minutes'!D64/'Scenario Minutes'!$H64,0)</f>
        <v>0.505940343781598</v>
      </c>
      <c r="E65" s="8" t="n">
        <f aca="false">IFERROR('Scenario Minutes'!E64/'Scenario Minutes'!$H64,0)</f>
        <v>0.0218149646107179</v>
      </c>
      <c r="F65" s="8" t="n">
        <f aca="false">IFERROR('Scenario Minutes'!F64/'Scenario Minutes'!$H64,0)</f>
        <v>0.191784630940344</v>
      </c>
      <c r="G65" s="8" t="n">
        <f aca="false">IFERROR('Scenario Minutes'!G64/'Scenario Minutes'!$H64,0)</f>
        <v>0</v>
      </c>
    </row>
    <row r="66" customFormat="false" ht="15" hidden="false" customHeight="false" outlineLevel="0" collapsed="false">
      <c r="A66" s="7" t="s">
        <v>45</v>
      </c>
      <c r="B66" s="7" t="s">
        <v>60</v>
      </c>
      <c r="C66" s="8" t="n">
        <f aca="false">IFERROR('Scenario Minutes'!C65/'Scenario Minutes'!$H65,0)</f>
        <v>0.372667675239536</v>
      </c>
      <c r="D66" s="8" t="n">
        <f aca="false">IFERROR('Scenario Minutes'!D65/'Scenario Minutes'!$H65,0)</f>
        <v>0.441754916792738</v>
      </c>
      <c r="E66" s="8" t="n">
        <f aca="false">IFERROR('Scenario Minutes'!E65/'Scenario Minutes'!$H65,0)</f>
        <v>0.0694906707009581</v>
      </c>
      <c r="F66" s="8" t="n">
        <f aca="false">IFERROR('Scenario Minutes'!F65/'Scenario Minutes'!$H65,0)</f>
        <v>0.116086737266768</v>
      </c>
      <c r="G66" s="8" t="n">
        <f aca="false">IFERROR('Scenario Minutes'!G65/'Scenario Minutes'!$H65,0)</f>
        <v>0</v>
      </c>
    </row>
    <row r="67" customFormat="false" ht="15" hidden="false" customHeight="false" outlineLevel="0" collapsed="false">
      <c r="A67" s="7" t="s">
        <v>46</v>
      </c>
      <c r="B67" s="7" t="s">
        <v>60</v>
      </c>
      <c r="C67" s="8" t="n">
        <f aca="false">IFERROR('Scenario Minutes'!C66/'Scenario Minutes'!$H66,0)</f>
        <v>0.199517888860695</v>
      </c>
      <c r="D67" s="8" t="n">
        <f aca="false">IFERROR('Scenario Minutes'!D66/'Scenario Minutes'!$H66,0)</f>
        <v>0.584978431870084</v>
      </c>
      <c r="E67" s="8" t="n">
        <f aca="false">IFERROR('Scenario Minutes'!E66/'Scenario Minutes'!$H66,0)</f>
        <v>0.150393301192591</v>
      </c>
      <c r="F67" s="8" t="n">
        <f aca="false">IFERROR('Scenario Minutes'!F66/'Scenario Minutes'!$H66,0)</f>
        <v>0.0651103780766303</v>
      </c>
      <c r="G67" s="8" t="n">
        <f aca="false">IFERROR('Scenario Minutes'!G66/'Scenario Minutes'!$H66,0)</f>
        <v>0</v>
      </c>
    </row>
    <row r="68" customFormat="false" ht="15" hidden="false" customHeight="false" outlineLevel="0" collapsed="false">
      <c r="A68" s="7" t="s">
        <v>47</v>
      </c>
      <c r="B68" s="7" t="s">
        <v>60</v>
      </c>
      <c r="C68" s="8" t="n">
        <f aca="false">IFERROR('Scenario Minutes'!C67/'Scenario Minutes'!$H67,0)</f>
        <v>0.304922999242616</v>
      </c>
      <c r="D68" s="8" t="n">
        <f aca="false">IFERROR('Scenario Minutes'!D67/'Scenario Minutes'!$H67,0)</f>
        <v>0.394117647058824</v>
      </c>
      <c r="E68" s="8" t="n">
        <f aca="false">IFERROR('Scenario Minutes'!E67/'Scenario Minutes'!$H67,0)</f>
        <v>0.220297904569553</v>
      </c>
      <c r="F68" s="8" t="n">
        <f aca="false">IFERROR('Scenario Minutes'!F67/'Scenario Minutes'!$H67,0)</f>
        <v>0.0806614491290078</v>
      </c>
      <c r="G68" s="8" t="n">
        <f aca="false">IFERROR('Scenario Minutes'!G67/'Scenario Minutes'!$H67,0)</f>
        <v>0</v>
      </c>
    </row>
    <row r="69" customFormat="false" ht="15" hidden="false" customHeight="false" outlineLevel="0" collapsed="false">
      <c r="A69" s="7" t="s">
        <v>48</v>
      </c>
      <c r="B69" s="7" t="s">
        <v>60</v>
      </c>
      <c r="C69" s="8" t="n">
        <f aca="false">IFERROR('Scenario Minutes'!C68/'Scenario Minutes'!$H68,0)</f>
        <v>0.312360970677452</v>
      </c>
      <c r="D69" s="8" t="n">
        <f aca="false">IFERROR('Scenario Minutes'!D68/'Scenario Minutes'!$H68,0)</f>
        <v>0.490697674418605</v>
      </c>
      <c r="E69" s="8" t="n">
        <f aca="false">IFERROR('Scenario Minutes'!E68/'Scenario Minutes'!$H68,0)</f>
        <v>0.123205257836198</v>
      </c>
      <c r="F69" s="8" t="n">
        <f aca="false">IFERROR('Scenario Minutes'!F68/'Scenario Minutes'!$H68,0)</f>
        <v>0.0737360970677452</v>
      </c>
      <c r="G69" s="8" t="n">
        <f aca="false">IFERROR('Scenario Minutes'!G68/'Scenario Minutes'!$H68,0)</f>
        <v>0</v>
      </c>
    </row>
    <row r="70" customFormat="false" ht="15" hidden="false" customHeight="false" outlineLevel="0" collapsed="false">
      <c r="A70" s="7" t="s">
        <v>43</v>
      </c>
      <c r="B70" s="7" t="s">
        <v>61</v>
      </c>
      <c r="C70" s="8" t="n">
        <f aca="false">IFERROR('Scenario Minutes'!C69/'Scenario Minutes'!$H69,0)</f>
        <v>0.475900900900901</v>
      </c>
      <c r="D70" s="8" t="n">
        <f aca="false">IFERROR('Scenario Minutes'!D69/'Scenario Minutes'!$H69,0)</f>
        <v>0.417492492492493</v>
      </c>
      <c r="E70" s="8" t="n">
        <f aca="false">IFERROR('Scenario Minutes'!E69/'Scenario Minutes'!$H69,0)</f>
        <v>0</v>
      </c>
      <c r="F70" s="8" t="n">
        <f aca="false">IFERROR('Scenario Minutes'!F69/'Scenario Minutes'!$H69,0)</f>
        <v>0.106606606606607</v>
      </c>
      <c r="G70" s="8" t="n">
        <f aca="false">IFERROR('Scenario Minutes'!G69/'Scenario Minutes'!$H69,0)</f>
        <v>0</v>
      </c>
    </row>
    <row r="71" customFormat="false" ht="15" hidden="false" customHeight="false" outlineLevel="0" collapsed="false">
      <c r="A71" s="7" t="s">
        <v>45</v>
      </c>
      <c r="B71" s="7" t="s">
        <v>61</v>
      </c>
      <c r="C71" s="8" t="n">
        <f aca="false">IFERROR('Scenario Minutes'!C70/'Scenario Minutes'!$H70,0)</f>
        <v>0.41501509054326</v>
      </c>
      <c r="D71" s="8" t="n">
        <f aca="false">IFERROR('Scenario Minutes'!D70/'Scenario Minutes'!$H70,0)</f>
        <v>0.508048289738431</v>
      </c>
      <c r="E71" s="8" t="n">
        <f aca="false">IFERROR('Scenario Minutes'!E70/'Scenario Minutes'!$H70,0)</f>
        <v>0.0383551307847083</v>
      </c>
      <c r="F71" s="8" t="n">
        <f aca="false">IFERROR('Scenario Minutes'!F70/'Scenario Minutes'!$H70,0)</f>
        <v>0.0385814889336016</v>
      </c>
      <c r="G71" s="8" t="n">
        <f aca="false">IFERROR('Scenario Minutes'!G70/'Scenario Minutes'!$H70,0)</f>
        <v>0</v>
      </c>
    </row>
    <row r="72" customFormat="false" ht="15" hidden="false" customHeight="false" outlineLevel="0" collapsed="false">
      <c r="A72" s="7" t="s">
        <v>46</v>
      </c>
      <c r="B72" s="7" t="s">
        <v>61</v>
      </c>
      <c r="C72" s="8" t="n">
        <f aca="false">IFERROR('Scenario Minutes'!C71/'Scenario Minutes'!$H71,0)</f>
        <v>0.400181259755299</v>
      </c>
      <c r="D72" s="8" t="n">
        <f aca="false">IFERROR('Scenario Minutes'!D71/'Scenario Minutes'!$H71,0)</f>
        <v>0.507502139872111</v>
      </c>
      <c r="E72" s="8" t="n">
        <f aca="false">IFERROR('Scenario Minutes'!E71/'Scenario Minutes'!$H71,0)</f>
        <v>0.0612255173455516</v>
      </c>
      <c r="F72" s="8" t="n">
        <f aca="false">IFERROR('Scenario Minutes'!F71/'Scenario Minutes'!$H71,0)</f>
        <v>0.0310910830270379</v>
      </c>
      <c r="G72" s="8" t="n">
        <f aca="false">IFERROR('Scenario Minutes'!G71/'Scenario Minutes'!$H71,0)</f>
        <v>0</v>
      </c>
    </row>
    <row r="73" customFormat="false" ht="15" hidden="false" customHeight="false" outlineLevel="0" collapsed="false">
      <c r="A73" s="7" t="s">
        <v>47</v>
      </c>
      <c r="B73" s="7" t="s">
        <v>61</v>
      </c>
      <c r="C73" s="8" t="n">
        <f aca="false">IFERROR('Scenario Minutes'!C72/'Scenario Minutes'!$H72,0)</f>
        <v>0.467474215047769</v>
      </c>
      <c r="D73" s="8" t="n">
        <f aca="false">IFERROR('Scenario Minutes'!D72/'Scenario Minutes'!$H72,0)</f>
        <v>0.452548085451458</v>
      </c>
      <c r="E73" s="8" t="n">
        <f aca="false">IFERROR('Scenario Minutes'!E72/'Scenario Minutes'!$H72,0)</f>
        <v>0.0253414763944147</v>
      </c>
      <c r="F73" s="8" t="n">
        <f aca="false">IFERROR('Scenario Minutes'!F72/'Scenario Minutes'!$H72,0)</f>
        <v>0.0546362231063582</v>
      </c>
      <c r="G73" s="8" t="n">
        <f aca="false">IFERROR('Scenario Minutes'!G72/'Scenario Minutes'!$H72,0)</f>
        <v>0</v>
      </c>
    </row>
    <row r="74" customFormat="false" ht="15" hidden="false" customHeight="false" outlineLevel="0" collapsed="false">
      <c r="A74" s="7" t="s">
        <v>48</v>
      </c>
      <c r="B74" s="7" t="s">
        <v>61</v>
      </c>
      <c r="C74" s="8" t="n">
        <f aca="false">IFERROR('Scenario Minutes'!C73/'Scenario Minutes'!$H73,0)</f>
        <v>0.212083534218072</v>
      </c>
      <c r="D74" s="8" t="n">
        <f aca="false">IFERROR('Scenario Minutes'!D73/'Scenario Minutes'!$H73,0)</f>
        <v>0.602045218097389</v>
      </c>
      <c r="E74" s="8" t="n">
        <f aca="false">IFERROR('Scenario Minutes'!E73/'Scenario Minutes'!$H73,0)</f>
        <v>0.129386688319927</v>
      </c>
      <c r="F74" s="8" t="n">
        <f aca="false">IFERROR('Scenario Minutes'!F73/'Scenario Minutes'!$H73,0)</f>
        <v>0.0564845593646122</v>
      </c>
      <c r="G74" s="8" t="n">
        <f aca="false">IFERROR('Scenario Minutes'!G73/'Scenario Minutes'!$H73,0)</f>
        <v>0</v>
      </c>
    </row>
    <row r="75" customFormat="false" ht="15" hidden="false" customHeight="false" outlineLevel="0" collapsed="false">
      <c r="A75" s="7" t="s">
        <v>43</v>
      </c>
      <c r="B75" s="7" t="s">
        <v>62</v>
      </c>
      <c r="C75" s="8" t="n">
        <f aca="false">IFERROR('Scenario Minutes'!C74/'Scenario Minutes'!$H74,0)</f>
        <v>0.513624873609707</v>
      </c>
      <c r="D75" s="8" t="n">
        <f aca="false">IFERROR('Scenario Minutes'!D74/'Scenario Minutes'!$H74,0)</f>
        <v>0.355889787664307</v>
      </c>
      <c r="E75" s="8" t="n">
        <f aca="false">IFERROR('Scenario Minutes'!E74/'Scenario Minutes'!$H74,0)</f>
        <v>0.02762891809909</v>
      </c>
      <c r="F75" s="8" t="n">
        <f aca="false">IFERROR('Scenario Minutes'!F74/'Scenario Minutes'!$H74,0)</f>
        <v>0.102856420626896</v>
      </c>
      <c r="G75" s="8" t="n">
        <f aca="false">IFERROR('Scenario Minutes'!G74/'Scenario Minutes'!$H74,0)</f>
        <v>0</v>
      </c>
    </row>
    <row r="76" customFormat="false" ht="15" hidden="false" customHeight="false" outlineLevel="0" collapsed="false">
      <c r="A76" s="7" t="s">
        <v>45</v>
      </c>
      <c r="B76" s="7" t="s">
        <v>62</v>
      </c>
      <c r="C76" s="8" t="n">
        <f aca="false">IFERROR('Scenario Minutes'!C75/'Scenario Minutes'!$H75,0)</f>
        <v>0.409883720930233</v>
      </c>
      <c r="D76" s="8" t="n">
        <f aca="false">IFERROR('Scenario Minutes'!D75/'Scenario Minutes'!$H75,0)</f>
        <v>0.475202224469161</v>
      </c>
      <c r="E76" s="8" t="n">
        <f aca="false">IFERROR('Scenario Minutes'!E75/'Scenario Minutes'!$H75,0)</f>
        <v>0.0324570273003033</v>
      </c>
      <c r="F76" s="8" t="n">
        <f aca="false">IFERROR('Scenario Minutes'!F75/'Scenario Minutes'!$H75,0)</f>
        <v>0.0824570273003033</v>
      </c>
      <c r="G76" s="8" t="n">
        <f aca="false">IFERROR('Scenario Minutes'!G75/'Scenario Minutes'!$H75,0)</f>
        <v>0</v>
      </c>
    </row>
    <row r="77" customFormat="false" ht="15" hidden="false" customHeight="false" outlineLevel="0" collapsed="false">
      <c r="A77" s="7" t="s">
        <v>46</v>
      </c>
      <c r="B77" s="7" t="s">
        <v>62</v>
      </c>
      <c r="C77" s="8" t="n">
        <f aca="false">IFERROR('Scenario Minutes'!C76/'Scenario Minutes'!$H76,0)</f>
        <v>0.297710502375417</v>
      </c>
      <c r="D77" s="8" t="n">
        <f aca="false">IFERROR('Scenario Minutes'!D76/'Scenario Minutes'!$H76,0)</f>
        <v>0.372991003740018</v>
      </c>
      <c r="E77" s="8" t="n">
        <f aca="false">IFERROR('Scenario Minutes'!E76/'Scenario Minutes'!$H76,0)</f>
        <v>0.0131658748610128</v>
      </c>
      <c r="F77" s="8" t="n">
        <f aca="false">IFERROR('Scenario Minutes'!F76/'Scenario Minutes'!$H76,0)</f>
        <v>0.316132619023552</v>
      </c>
      <c r="G77" s="8" t="n">
        <f aca="false">IFERROR('Scenario Minutes'!G76/'Scenario Minutes'!$H76,0)</f>
        <v>0</v>
      </c>
    </row>
    <row r="78" customFormat="false" ht="15" hidden="false" customHeight="false" outlineLevel="0" collapsed="false">
      <c r="A78" s="7" t="s">
        <v>47</v>
      </c>
      <c r="B78" s="7" t="s">
        <v>62</v>
      </c>
      <c r="C78" s="8" t="n">
        <f aca="false">IFERROR('Scenario Minutes'!C77/'Scenario Minutes'!$H77,0)</f>
        <v>0.497931944479687</v>
      </c>
      <c r="D78" s="8" t="n">
        <f aca="false">IFERROR('Scenario Minutes'!D77/'Scenario Minutes'!$H77,0)</f>
        <v>0.388794437818772</v>
      </c>
      <c r="E78" s="8" t="n">
        <f aca="false">IFERROR('Scenario Minutes'!E77/'Scenario Minutes'!$H77,0)</f>
        <v>0.0562561851353752</v>
      </c>
      <c r="F78" s="8" t="n">
        <f aca="false">IFERROR('Scenario Minutes'!F77/'Scenario Minutes'!$H77,0)</f>
        <v>0.0570174325661651</v>
      </c>
      <c r="G78" s="8" t="n">
        <f aca="false">IFERROR('Scenario Minutes'!G77/'Scenario Minutes'!$H77,0)</f>
        <v>0</v>
      </c>
    </row>
    <row r="79" customFormat="false" ht="15" hidden="false" customHeight="false" outlineLevel="0" collapsed="false">
      <c r="A79" s="7" t="s">
        <v>48</v>
      </c>
      <c r="B79" s="7" t="s">
        <v>62</v>
      </c>
      <c r="C79" s="8" t="n">
        <f aca="false">IFERROR('Scenario Minutes'!C78/'Scenario Minutes'!$H78,0)</f>
        <v>0.281626964014192</v>
      </c>
      <c r="D79" s="8" t="n">
        <f aca="false">IFERROR('Scenario Minutes'!D78/'Scenario Minutes'!$H78,0)</f>
        <v>0.556893056259503</v>
      </c>
      <c r="E79" s="8" t="n">
        <f aca="false">IFERROR('Scenario Minutes'!E78/'Scenario Minutes'!$H78,0)</f>
        <v>0.00114039533705018</v>
      </c>
      <c r="F79" s="8" t="n">
        <f aca="false">IFERROR('Scenario Minutes'!F78/'Scenario Minutes'!$H78,0)</f>
        <v>0.160339584389255</v>
      </c>
      <c r="G79" s="8" t="n">
        <f aca="false">IFERROR('Scenario Minutes'!G78/'Scenario Minutes'!$H78,0)</f>
        <v>0</v>
      </c>
    </row>
    <row r="80" customFormat="false" ht="15" hidden="false" customHeight="false" outlineLevel="0" collapsed="false">
      <c r="A80" s="7" t="s">
        <v>43</v>
      </c>
      <c r="B80" s="7" t="s">
        <v>63</v>
      </c>
      <c r="C80" s="8" t="n">
        <f aca="false">IFERROR('Scenario Minutes'!C79/'Scenario Minutes'!$H79,0)</f>
        <v>0.442760010073029</v>
      </c>
      <c r="D80" s="8" t="n">
        <f aca="false">IFERROR('Scenario Minutes'!D79/'Scenario Minutes'!$H79,0)</f>
        <v>0.436162175774364</v>
      </c>
      <c r="E80" s="8" t="n">
        <f aca="false">IFERROR('Scenario Minutes'!E79/'Scenario Minutes'!$H79,0)</f>
        <v>0</v>
      </c>
      <c r="F80" s="8" t="n">
        <f aca="false">IFERROR('Scenario Minutes'!F79/'Scenario Minutes'!$H79,0)</f>
        <v>0.121077814152606</v>
      </c>
      <c r="G80" s="8" t="n">
        <f aca="false">IFERROR('Scenario Minutes'!G79/'Scenario Minutes'!$H79,0)</f>
        <v>0</v>
      </c>
    </row>
    <row r="81" customFormat="false" ht="15" hidden="false" customHeight="false" outlineLevel="0" collapsed="false">
      <c r="A81" s="7" t="s">
        <v>45</v>
      </c>
      <c r="B81" s="7" t="s">
        <v>63</v>
      </c>
      <c r="C81" s="8" t="n">
        <f aca="false">IFERROR('Scenario Minutes'!C80/'Scenario Minutes'!$H80,0)</f>
        <v>0.242040950289076</v>
      </c>
      <c r="D81" s="8" t="n">
        <f aca="false">IFERROR('Scenario Minutes'!D80/'Scenario Minutes'!$H80,0)</f>
        <v>0.654724936251862</v>
      </c>
      <c r="E81" s="8" t="n">
        <f aca="false">IFERROR('Scenario Minutes'!E80/'Scenario Minutes'!$H80,0)</f>
        <v>0.0768764674695145</v>
      </c>
      <c r="F81" s="8" t="n">
        <f aca="false">IFERROR('Scenario Minutes'!F80/'Scenario Minutes'!$H80,0)</f>
        <v>0.0263576459895478</v>
      </c>
      <c r="G81" s="8" t="n">
        <f aca="false">IFERROR('Scenario Minutes'!G80/'Scenario Minutes'!$H80,0)</f>
        <v>0</v>
      </c>
    </row>
    <row r="82" customFormat="false" ht="15" hidden="false" customHeight="false" outlineLevel="0" collapsed="false">
      <c r="A82" s="7" t="s">
        <v>46</v>
      </c>
      <c r="B82" s="7" t="s">
        <v>63</v>
      </c>
      <c r="C82" s="8" t="n">
        <f aca="false">IFERROR('Scenario Minutes'!C81/'Scenario Minutes'!$H81,0)</f>
        <v>0.420096178182739</v>
      </c>
      <c r="D82" s="8" t="n">
        <f aca="false">IFERROR('Scenario Minutes'!D81/'Scenario Minutes'!$H81,0)</f>
        <v>0.511667932169071</v>
      </c>
      <c r="E82" s="8" t="n">
        <f aca="false">IFERROR('Scenario Minutes'!E81/'Scenario Minutes'!$H81,0)</f>
        <v>0</v>
      </c>
      <c r="F82" s="8" t="n">
        <f aca="false">IFERROR('Scenario Minutes'!F81/'Scenario Minutes'!$H81,0)</f>
        <v>0.0682358896481903</v>
      </c>
      <c r="G82" s="8" t="n">
        <f aca="false">IFERROR('Scenario Minutes'!G81/'Scenario Minutes'!$H81,0)</f>
        <v>0</v>
      </c>
    </row>
    <row r="83" customFormat="false" ht="15" hidden="false" customHeight="false" outlineLevel="0" collapsed="false">
      <c r="A83" s="7" t="s">
        <v>47</v>
      </c>
      <c r="B83" s="7" t="s">
        <v>63</v>
      </c>
      <c r="C83" s="8" t="n">
        <f aca="false">IFERROR('Scenario Minutes'!C82/'Scenario Minutes'!$H82,0)</f>
        <v>0.218389362769694</v>
      </c>
      <c r="D83" s="8" t="n">
        <f aca="false">IFERROR('Scenario Minutes'!D82/'Scenario Minutes'!$H82,0)</f>
        <v>0.656472654290015</v>
      </c>
      <c r="E83" s="8" t="n">
        <f aca="false">IFERROR('Scenario Minutes'!E82/'Scenario Minutes'!$H82,0)</f>
        <v>0</v>
      </c>
      <c r="F83" s="8" t="n">
        <f aca="false">IFERROR('Scenario Minutes'!F82/'Scenario Minutes'!$H82,0)</f>
        <v>0.125137982940291</v>
      </c>
      <c r="G83" s="8" t="n">
        <f aca="false">IFERROR('Scenario Minutes'!G82/'Scenario Minutes'!$H82,0)</f>
        <v>0</v>
      </c>
    </row>
    <row r="84" customFormat="false" ht="15" hidden="false" customHeight="false" outlineLevel="0" collapsed="false">
      <c r="A84" s="7" t="s">
        <v>48</v>
      </c>
      <c r="B84" s="7" t="s">
        <v>63</v>
      </c>
      <c r="C84" s="8" t="n">
        <f aca="false">IFERROR('Scenario Minutes'!C83/'Scenario Minutes'!$H83,0)</f>
        <v>0.23763004313626</v>
      </c>
      <c r="D84" s="8" t="n">
        <f aca="false">IFERROR('Scenario Minutes'!D83/'Scenario Minutes'!$H83,0)</f>
        <v>0.592971327074347</v>
      </c>
      <c r="E84" s="8" t="n">
        <f aca="false">IFERROR('Scenario Minutes'!E83/'Scenario Minutes'!$H83,0)</f>
        <v>0.116645521441259</v>
      </c>
      <c r="F84" s="8" t="n">
        <f aca="false">IFERROR('Scenario Minutes'!F83/'Scenario Minutes'!$H83,0)</f>
        <v>0.052753108348135</v>
      </c>
      <c r="G84" s="8" t="n">
        <f aca="false">IFERROR('Scenario Minutes'!G83/'Scenario Minutes'!$H83,0)</f>
        <v>0</v>
      </c>
    </row>
    <row r="85" customFormat="false" ht="15" hidden="false" customHeight="false" outlineLevel="0" collapsed="false">
      <c r="A85" s="7" t="s">
        <v>43</v>
      </c>
      <c r="B85" s="7" t="s">
        <v>64</v>
      </c>
      <c r="C85" s="8" t="n">
        <f aca="false">IFERROR('Scenario Minutes'!C84/'Scenario Minutes'!$H84,0)</f>
        <v>0.237762591748924</v>
      </c>
      <c r="D85" s="8" t="n">
        <f aca="false">IFERROR('Scenario Minutes'!D84/'Scenario Minutes'!$H84,0)</f>
        <v>0.596760313844596</v>
      </c>
      <c r="E85" s="8" t="n">
        <f aca="false">IFERROR('Scenario Minutes'!E84/'Scenario Minutes'!$H84,0)</f>
        <v>0.091976714755758</v>
      </c>
      <c r="F85" s="8" t="n">
        <f aca="false">IFERROR('Scenario Minutes'!F84/'Scenario Minutes'!$H84,0)</f>
        <v>0.0735003796507213</v>
      </c>
      <c r="G85" s="8" t="n">
        <f aca="false">IFERROR('Scenario Minutes'!G84/'Scenario Minutes'!$H84,0)</f>
        <v>0</v>
      </c>
    </row>
    <row r="86" customFormat="false" ht="15" hidden="false" customHeight="false" outlineLevel="0" collapsed="false">
      <c r="A86" s="7" t="s">
        <v>45</v>
      </c>
      <c r="B86" s="7" t="s">
        <v>64</v>
      </c>
      <c r="C86" s="8" t="n">
        <f aca="false">IFERROR('Scenario Minutes'!C85/'Scenario Minutes'!$H85,0)</f>
        <v>0.322213817448311</v>
      </c>
      <c r="D86" s="8" t="n">
        <f aca="false">IFERROR('Scenario Minutes'!D85/'Scenario Minutes'!$H85,0)</f>
        <v>0.578063540090772</v>
      </c>
      <c r="E86" s="8" t="n">
        <f aca="false">IFERROR('Scenario Minutes'!E85/'Scenario Minutes'!$H85,0)</f>
        <v>0</v>
      </c>
      <c r="F86" s="8" t="n">
        <f aca="false">IFERROR('Scenario Minutes'!F85/'Scenario Minutes'!$H85,0)</f>
        <v>0.0997226424609178</v>
      </c>
      <c r="G86" s="8" t="n">
        <f aca="false">IFERROR('Scenario Minutes'!G85/'Scenario Minutes'!$H85,0)</f>
        <v>0</v>
      </c>
    </row>
    <row r="87" customFormat="false" ht="15" hidden="false" customHeight="false" outlineLevel="0" collapsed="false">
      <c r="A87" s="7" t="s">
        <v>46</v>
      </c>
      <c r="B87" s="7" t="s">
        <v>64</v>
      </c>
      <c r="C87" s="8" t="n">
        <f aca="false">IFERROR('Scenario Minutes'!C86/'Scenario Minutes'!$H86,0)</f>
        <v>0.318202474122696</v>
      </c>
      <c r="D87" s="8" t="n">
        <f aca="false">IFERROR('Scenario Minutes'!D86/'Scenario Minutes'!$H86,0)</f>
        <v>0.478111587982833</v>
      </c>
      <c r="E87" s="8" t="n">
        <f aca="false">IFERROR('Scenario Minutes'!E86/'Scenario Minutes'!$H86,0)</f>
        <v>0.151123453673315</v>
      </c>
      <c r="F87" s="8" t="n">
        <f aca="false">IFERROR('Scenario Minutes'!F86/'Scenario Minutes'!$H86,0)</f>
        <v>0.0525624842211563</v>
      </c>
      <c r="G87" s="8" t="n">
        <f aca="false">IFERROR('Scenario Minutes'!G86/'Scenario Minutes'!$H86,0)</f>
        <v>0</v>
      </c>
    </row>
    <row r="88" customFormat="false" ht="15" hidden="false" customHeight="false" outlineLevel="0" collapsed="false">
      <c r="A88" s="7" t="s">
        <v>47</v>
      </c>
      <c r="B88" s="7" t="s">
        <v>64</v>
      </c>
      <c r="C88" s="8" t="n">
        <f aca="false">IFERROR('Scenario Minutes'!C87/'Scenario Minutes'!$H87,0)</f>
        <v>0.244241964059732</v>
      </c>
      <c r="D88" s="8" t="n">
        <f aca="false">IFERROR('Scenario Minutes'!D87/'Scenario Minutes'!$H87,0)</f>
        <v>0.641635029106555</v>
      </c>
      <c r="E88" s="8" t="n">
        <f aca="false">IFERROR('Scenario Minutes'!E87/'Scenario Minutes'!$H87,0)</f>
        <v>0.0518602885345482</v>
      </c>
      <c r="F88" s="8" t="n">
        <f aca="false">IFERROR('Scenario Minutes'!F87/'Scenario Minutes'!$H87,0)</f>
        <v>0.0622627182991648</v>
      </c>
      <c r="G88" s="8" t="n">
        <f aca="false">IFERROR('Scenario Minutes'!G87/'Scenario Minutes'!$H87,0)</f>
        <v>0</v>
      </c>
    </row>
    <row r="89" customFormat="false" ht="15" hidden="false" customHeight="false" outlineLevel="0" collapsed="false">
      <c r="A89" s="7" t="s">
        <v>48</v>
      </c>
      <c r="B89" s="7" t="s">
        <v>64</v>
      </c>
      <c r="C89" s="8" t="n">
        <f aca="false">IFERROR('Scenario Minutes'!C88/'Scenario Minutes'!$H88,0)</f>
        <v>0.161600566930728</v>
      </c>
      <c r="D89" s="8" t="n">
        <f aca="false">IFERROR('Scenario Minutes'!D88/'Scenario Minutes'!$H88,0)</f>
        <v>0.660980486446812</v>
      </c>
      <c r="E89" s="8" t="n">
        <f aca="false">IFERROR('Scenario Minutes'!E88/'Scenario Minutes'!$H88,0)</f>
        <v>0.132494748297942</v>
      </c>
      <c r="F89" s="8" t="n">
        <f aca="false">IFERROR('Scenario Minutes'!F88/'Scenario Minutes'!$H88,0)</f>
        <v>0.0449241983245172</v>
      </c>
      <c r="G89" s="8" t="n">
        <f aca="false">IFERROR('Scenario Minutes'!G88/'Scenario Minutes'!$H88,0)</f>
        <v>0</v>
      </c>
    </row>
    <row r="90" customFormat="false" ht="15" hidden="false" customHeight="false" outlineLevel="0" collapsed="false">
      <c r="A90" s="7" t="s">
        <v>43</v>
      </c>
      <c r="B90" s="7" t="s">
        <v>65</v>
      </c>
      <c r="C90" s="8" t="n">
        <f aca="false">IFERROR('Scenario Minutes'!C89/'Scenario Minutes'!$H89,0)</f>
        <v>0.328311425682508</v>
      </c>
      <c r="D90" s="8" t="n">
        <f aca="false">IFERROR('Scenario Minutes'!D89/'Scenario Minutes'!$H89,0)</f>
        <v>0.466076845298281</v>
      </c>
      <c r="E90" s="8" t="n">
        <f aca="false">IFERROR('Scenario Minutes'!E89/'Scenario Minutes'!$H89,0)</f>
        <v>0.110945399393327</v>
      </c>
      <c r="F90" s="8" t="n">
        <f aca="false">IFERROR('Scenario Minutes'!F89/'Scenario Minutes'!$H89,0)</f>
        <v>0.0946663296258847</v>
      </c>
      <c r="G90" s="8" t="n">
        <f aca="false">IFERROR('Scenario Minutes'!G89/'Scenario Minutes'!$H89,0)</f>
        <v>0</v>
      </c>
    </row>
    <row r="91" customFormat="false" ht="15" hidden="false" customHeight="false" outlineLevel="0" collapsed="false">
      <c r="A91" s="7" t="s">
        <v>45</v>
      </c>
      <c r="B91" s="7" t="s">
        <v>65</v>
      </c>
      <c r="C91" s="8" t="n">
        <f aca="false">IFERROR('Scenario Minutes'!C90/'Scenario Minutes'!$H90,0)</f>
        <v>0.275585587857089</v>
      </c>
      <c r="D91" s="8" t="n">
        <f aca="false">IFERROR('Scenario Minutes'!D90/'Scenario Minutes'!$H90,0)</f>
        <v>0.451728398174529</v>
      </c>
      <c r="E91" s="8" t="n">
        <f aca="false">IFERROR('Scenario Minutes'!E90/'Scenario Minutes'!$H90,0)</f>
        <v>0.243463351907415</v>
      </c>
      <c r="F91" s="8" t="n">
        <f aca="false">IFERROR('Scenario Minutes'!F90/'Scenario Minutes'!$H90,0)</f>
        <v>0.0292226620609667</v>
      </c>
      <c r="G91" s="8" t="n">
        <f aca="false">IFERROR('Scenario Minutes'!G90/'Scenario Minutes'!$H90,0)</f>
        <v>0</v>
      </c>
    </row>
    <row r="92" customFormat="false" ht="15" hidden="false" customHeight="false" outlineLevel="0" collapsed="false">
      <c r="A92" s="7" t="s">
        <v>46</v>
      </c>
      <c r="B92" s="7" t="s">
        <v>65</v>
      </c>
      <c r="C92" s="8" t="n">
        <f aca="false">IFERROR('Scenario Minutes'!C91/'Scenario Minutes'!$H91,0)</f>
        <v>0.409679618268575</v>
      </c>
      <c r="D92" s="8" t="n">
        <f aca="false">IFERROR('Scenario Minutes'!D91/'Scenario Minutes'!$H91,0)</f>
        <v>0.395541417354642</v>
      </c>
      <c r="E92" s="8" t="n">
        <f aca="false">IFERROR('Scenario Minutes'!E91/'Scenario Minutes'!$H91,0)</f>
        <v>0.161781413315156</v>
      </c>
      <c r="F92" s="8" t="n">
        <f aca="false">IFERROR('Scenario Minutes'!F91/'Scenario Minutes'!$H91,0)</f>
        <v>0.0329975510616274</v>
      </c>
      <c r="G92" s="8" t="n">
        <f aca="false">IFERROR('Scenario Minutes'!G91/'Scenario Minutes'!$H91,0)</f>
        <v>0</v>
      </c>
    </row>
    <row r="93" customFormat="false" ht="15" hidden="false" customHeight="false" outlineLevel="0" collapsed="false">
      <c r="A93" s="7" t="s">
        <v>47</v>
      </c>
      <c r="B93" s="7" t="s">
        <v>65</v>
      </c>
      <c r="C93" s="8" t="n">
        <f aca="false">IFERROR('Scenario Minutes'!C92/'Scenario Minutes'!$H92,0)</f>
        <v>0.331215330307615</v>
      </c>
      <c r="D93" s="8" t="n">
        <f aca="false">IFERROR('Scenario Minutes'!D92/'Scenario Minutes'!$H92,0)</f>
        <v>0.449546142208775</v>
      </c>
      <c r="E93" s="8" t="n">
        <f aca="false">IFERROR('Scenario Minutes'!E92/'Scenario Minutes'!$H92,0)</f>
        <v>0.179954614220877</v>
      </c>
      <c r="F93" s="8" t="n">
        <f aca="false">IFERROR('Scenario Minutes'!F92/'Scenario Minutes'!$H92,0)</f>
        <v>0.0392839132627332</v>
      </c>
      <c r="G93" s="8" t="n">
        <f aca="false">IFERROR('Scenario Minutes'!G92/'Scenario Minutes'!$H92,0)</f>
        <v>0</v>
      </c>
    </row>
    <row r="94" customFormat="false" ht="15" hidden="false" customHeight="false" outlineLevel="0" collapsed="false">
      <c r="A94" s="7" t="s">
        <v>48</v>
      </c>
      <c r="B94" s="7" t="s">
        <v>65</v>
      </c>
      <c r="C94" s="8" t="n">
        <f aca="false">IFERROR('Scenario Minutes'!C93/'Scenario Minutes'!$H93,0)</f>
        <v>0.336619397891863</v>
      </c>
      <c r="D94" s="8" t="n">
        <f aca="false">IFERROR('Scenario Minutes'!D93/'Scenario Minutes'!$H93,0)</f>
        <v>0.429210586183362</v>
      </c>
      <c r="E94" s="8" t="n">
        <f aca="false">IFERROR('Scenario Minutes'!E93/'Scenario Minutes'!$H93,0)</f>
        <v>0.17939384747605</v>
      </c>
      <c r="F94" s="8" t="n">
        <f aca="false">IFERROR('Scenario Minutes'!F93/'Scenario Minutes'!$H93,0)</f>
        <v>0.0547761684487248</v>
      </c>
      <c r="G94" s="8" t="n">
        <f aca="false">IFERROR('Scenario Minutes'!G93/'Scenario Minutes'!$H93,0)</f>
        <v>0</v>
      </c>
    </row>
    <row r="95" customFormat="false" ht="15" hidden="false" customHeight="false" outlineLevel="0" collapsed="false">
      <c r="A95" s="7" t="s">
        <v>43</v>
      </c>
      <c r="B95" s="7" t="s">
        <v>66</v>
      </c>
      <c r="C95" s="8" t="n">
        <f aca="false">IFERROR('Scenario Minutes'!C94/'Scenario Minutes'!$H94,0)</f>
        <v>0.110048089091369</v>
      </c>
      <c r="D95" s="8" t="n">
        <f aca="false">IFERROR('Scenario Minutes'!D94/'Scenario Minutes'!$H94,0)</f>
        <v>0.708883826879271</v>
      </c>
      <c r="E95" s="8" t="n">
        <f aca="false">IFERROR('Scenario Minutes'!E94/'Scenario Minutes'!$H94,0)</f>
        <v>0.102404454568464</v>
      </c>
      <c r="F95" s="8" t="n">
        <f aca="false">IFERROR('Scenario Minutes'!F94/'Scenario Minutes'!$H94,0)</f>
        <v>0.078663629460896</v>
      </c>
      <c r="G95" s="8" t="n">
        <f aca="false">IFERROR('Scenario Minutes'!G94/'Scenario Minutes'!$H94,0)</f>
        <v>0</v>
      </c>
    </row>
    <row r="96" customFormat="false" ht="15" hidden="false" customHeight="false" outlineLevel="0" collapsed="false">
      <c r="A96" s="7" t="s">
        <v>45</v>
      </c>
      <c r="B96" s="7" t="s">
        <v>66</v>
      </c>
      <c r="C96" s="8" t="n">
        <f aca="false">IFERROR('Scenario Minutes'!C95/'Scenario Minutes'!$H95,0)</f>
        <v>0.410864035860888</v>
      </c>
      <c r="D96" s="8" t="n">
        <f aca="false">IFERROR('Scenario Minutes'!D95/'Scenario Minutes'!$H95,0)</f>
        <v>0.392253645269334</v>
      </c>
      <c r="E96" s="8" t="n">
        <f aca="false">IFERROR('Scenario Minutes'!E95/'Scenario Minutes'!$H95,0)</f>
        <v>0.139263139338689</v>
      </c>
      <c r="F96" s="8" t="n">
        <f aca="false">IFERROR('Scenario Minutes'!F95/'Scenario Minutes'!$H95,0)</f>
        <v>0.0576191795310887</v>
      </c>
      <c r="G96" s="8" t="n">
        <f aca="false">IFERROR('Scenario Minutes'!G95/'Scenario Minutes'!$H95,0)</f>
        <v>0</v>
      </c>
    </row>
    <row r="97" customFormat="false" ht="15" hidden="false" customHeight="false" outlineLevel="0" collapsed="false">
      <c r="A97" s="7" t="s">
        <v>46</v>
      </c>
      <c r="B97" s="7" t="s">
        <v>66</v>
      </c>
      <c r="C97" s="8" t="n">
        <f aca="false">IFERROR('Scenario Minutes'!C96/'Scenario Minutes'!$H96,0)</f>
        <v>0.334026896726719</v>
      </c>
      <c r="D97" s="8" t="n">
        <f aca="false">IFERROR('Scenario Minutes'!D96/'Scenario Minutes'!$H96,0)</f>
        <v>0.506546561786349</v>
      </c>
      <c r="E97" s="8" t="n">
        <f aca="false">IFERROR('Scenario Minutes'!E96/'Scenario Minutes'!$H96,0)</f>
        <v>0.107485409794468</v>
      </c>
      <c r="F97" s="8" t="n">
        <f aca="false">IFERROR('Scenario Minutes'!F96/'Scenario Minutes'!$H96,0)</f>
        <v>0.0519411316924638</v>
      </c>
      <c r="G97" s="8" t="n">
        <f aca="false">IFERROR('Scenario Minutes'!G96/'Scenario Minutes'!$H96,0)</f>
        <v>0</v>
      </c>
    </row>
    <row r="98" customFormat="false" ht="15" hidden="false" customHeight="false" outlineLevel="0" collapsed="false">
      <c r="A98" s="7" t="s">
        <v>47</v>
      </c>
      <c r="B98" s="7" t="s">
        <v>66</v>
      </c>
      <c r="C98" s="8" t="n">
        <f aca="false">IFERROR('Scenario Minutes'!C97/'Scenario Minutes'!$H97,0)</f>
        <v>0.104178794705004</v>
      </c>
      <c r="D98" s="8" t="n">
        <f aca="false">IFERROR('Scenario Minutes'!D97/'Scenario Minutes'!$H97,0)</f>
        <v>0.650332835556456</v>
      </c>
      <c r="E98" s="8" t="n">
        <f aca="false">IFERROR('Scenario Minutes'!E97/'Scenario Minutes'!$H97,0)</f>
        <v>0.0640613531094181</v>
      </c>
      <c r="F98" s="8" t="n">
        <f aca="false">IFERROR('Scenario Minutes'!F97/'Scenario Minutes'!$H97,0)</f>
        <v>0.181427016629122</v>
      </c>
      <c r="G98" s="8" t="n">
        <f aca="false">IFERROR('Scenario Minutes'!G97/'Scenario Minutes'!$H97,0)</f>
        <v>0</v>
      </c>
    </row>
    <row r="99" customFormat="false" ht="15" hidden="false" customHeight="false" outlineLevel="0" collapsed="false">
      <c r="A99" s="7" t="s">
        <v>48</v>
      </c>
      <c r="B99" s="7" t="s">
        <v>66</v>
      </c>
      <c r="C99" s="8" t="n">
        <f aca="false">IFERROR('Scenario Minutes'!C98/'Scenario Minutes'!$H98,0)</f>
        <v>0.195935369856097</v>
      </c>
      <c r="D99" s="8" t="n">
        <f aca="false">IFERROR('Scenario Minutes'!D98/'Scenario Minutes'!$H98,0)</f>
        <v>0.676521080535218</v>
      </c>
      <c r="E99" s="8" t="n">
        <f aca="false">IFERROR('Scenario Minutes'!E98/'Scenario Minutes'!$H98,0)</f>
        <v>0.107573844988639</v>
      </c>
      <c r="F99" s="8" t="n">
        <f aca="false">IFERROR('Scenario Minutes'!F98/'Scenario Minutes'!$H98,0)</f>
        <v>0.0199697046200454</v>
      </c>
      <c r="G99" s="8" t="n">
        <f aca="false">IFERROR('Scenario Minutes'!G98/'Scenario Minutes'!$H98,0)</f>
        <v>0</v>
      </c>
    </row>
    <row r="100" customFormat="false" ht="15" hidden="false" customHeight="false" outlineLevel="0" collapsed="false">
      <c r="A100" s="7" t="s">
        <v>43</v>
      </c>
      <c r="B100" s="7" t="s">
        <v>67</v>
      </c>
      <c r="C100" s="8" t="n">
        <f aca="false">IFERROR('Scenario Minutes'!C99/'Scenario Minutes'!$H99,0)</f>
        <v>0.22098078867543</v>
      </c>
      <c r="D100" s="8" t="n">
        <f aca="false">IFERROR('Scenario Minutes'!D99/'Scenario Minutes'!$H99,0)</f>
        <v>0.654954499494439</v>
      </c>
      <c r="E100" s="8" t="n">
        <f aca="false">IFERROR('Scenario Minutes'!E99/'Scenario Minutes'!$H99,0)</f>
        <v>0</v>
      </c>
      <c r="F100" s="8" t="n">
        <f aca="false">IFERROR('Scenario Minutes'!F99/'Scenario Minutes'!$H99,0)</f>
        <v>0.124064711830131</v>
      </c>
      <c r="G100" s="8" t="n">
        <f aca="false">IFERROR('Scenario Minutes'!G99/'Scenario Minutes'!$H99,0)</f>
        <v>0</v>
      </c>
    </row>
    <row r="101" customFormat="false" ht="15" hidden="false" customHeight="false" outlineLevel="0" collapsed="false">
      <c r="A101" s="7" t="s">
        <v>45</v>
      </c>
      <c r="B101" s="7" t="s">
        <v>67</v>
      </c>
      <c r="C101" s="8" t="n">
        <f aca="false">IFERROR('Scenario Minutes'!C100/'Scenario Minutes'!$H100,0)</f>
        <v>0.316537208719619</v>
      </c>
      <c r="D101" s="8" t="n">
        <f aca="false">IFERROR('Scenario Minutes'!D100/'Scenario Minutes'!$H100,0)</f>
        <v>0.501653720871962</v>
      </c>
      <c r="E101" s="8" t="n">
        <f aca="false">IFERROR('Scenario Minutes'!E100/'Scenario Minutes'!$H100,0)</f>
        <v>0.131871711350539</v>
      </c>
      <c r="F101" s="8" t="n">
        <f aca="false">IFERROR('Scenario Minutes'!F100/'Scenario Minutes'!$H100,0)</f>
        <v>0.0499373590578802</v>
      </c>
      <c r="G101" s="8" t="n">
        <f aca="false">IFERROR('Scenario Minutes'!G100/'Scenario Minutes'!$H100,0)</f>
        <v>0</v>
      </c>
    </row>
    <row r="102" customFormat="false" ht="15" hidden="false" customHeight="false" outlineLevel="0" collapsed="false">
      <c r="A102" s="7" t="s">
        <v>46</v>
      </c>
      <c r="B102" s="7" t="s">
        <v>67</v>
      </c>
      <c r="C102" s="8" t="n">
        <f aca="false">IFERROR('Scenario Minutes'!C101/'Scenario Minutes'!$H101,0)</f>
        <v>0.315331981753675</v>
      </c>
      <c r="D102" s="8" t="n">
        <f aca="false">IFERROR('Scenario Minutes'!D101/'Scenario Minutes'!$H101,0)</f>
        <v>0.553573238722757</v>
      </c>
      <c r="E102" s="8" t="n">
        <f aca="false">IFERROR('Scenario Minutes'!E101/'Scenario Minutes'!$H101,0)</f>
        <v>0.0808920425747593</v>
      </c>
      <c r="F102" s="8" t="n">
        <f aca="false">IFERROR('Scenario Minutes'!F101/'Scenario Minutes'!$H101,0)</f>
        <v>0.0502027369488089</v>
      </c>
      <c r="G102" s="8" t="n">
        <f aca="false">IFERROR('Scenario Minutes'!G101/'Scenario Minutes'!$H101,0)</f>
        <v>0</v>
      </c>
    </row>
    <row r="103" customFormat="false" ht="15" hidden="false" customHeight="false" outlineLevel="0" collapsed="false">
      <c r="A103" s="7" t="s">
        <v>47</v>
      </c>
      <c r="B103" s="7" t="s">
        <v>67</v>
      </c>
      <c r="C103" s="8" t="n">
        <f aca="false">IFERROR('Scenario Minutes'!C102/'Scenario Minutes'!$H102,0)</f>
        <v>0.311041247484909</v>
      </c>
      <c r="D103" s="8" t="n">
        <f aca="false">IFERROR('Scenario Minutes'!D102/'Scenario Minutes'!$H102,0)</f>
        <v>0.408274647887324</v>
      </c>
      <c r="E103" s="8" t="n">
        <f aca="false">IFERROR('Scenario Minutes'!E102/'Scenario Minutes'!$H102,0)</f>
        <v>0.236393360160966</v>
      </c>
      <c r="F103" s="8" t="n">
        <f aca="false">IFERROR('Scenario Minutes'!F102/'Scenario Minutes'!$H102,0)</f>
        <v>0.0442907444668008</v>
      </c>
      <c r="G103" s="8" t="n">
        <f aca="false">IFERROR('Scenario Minutes'!G102/'Scenario Minutes'!$H102,0)</f>
        <v>0</v>
      </c>
    </row>
    <row r="104" customFormat="false" ht="15" hidden="false" customHeight="false" outlineLevel="0" collapsed="false">
      <c r="A104" s="7" t="s">
        <v>48</v>
      </c>
      <c r="B104" s="7" t="s">
        <v>67</v>
      </c>
      <c r="C104" s="8" t="n">
        <f aca="false">IFERROR('Scenario Minutes'!C103/'Scenario Minutes'!$H103,0)</f>
        <v>0.374234371045305</v>
      </c>
      <c r="D104" s="8" t="n">
        <f aca="false">IFERROR('Scenario Minutes'!D103/'Scenario Minutes'!$H103,0)</f>
        <v>0.435712477853708</v>
      </c>
      <c r="E104" s="8" t="n">
        <f aca="false">IFERROR('Scenario Minutes'!E103/'Scenario Minutes'!$H103,0)</f>
        <v>0.136826119969628</v>
      </c>
      <c r="F104" s="8" t="n">
        <f aca="false">IFERROR('Scenario Minutes'!F103/'Scenario Minutes'!$H103,0)</f>
        <v>0.0532270311313592</v>
      </c>
      <c r="G104" s="8" t="n">
        <f aca="false">IFERROR('Scenario Minutes'!G103/'Scenario Minutes'!$H103,0)</f>
        <v>0</v>
      </c>
    </row>
    <row r="105" customFormat="false" ht="15" hidden="false" customHeight="false" outlineLevel="0" collapsed="false">
      <c r="A105" s="7" t="s">
        <v>43</v>
      </c>
      <c r="B105" s="7" t="s">
        <v>68</v>
      </c>
      <c r="C105" s="8" t="n">
        <f aca="false">IFERROR('Scenario Minutes'!C104/'Scenario Minutes'!$H104,0)</f>
        <v>0.121437047135752</v>
      </c>
      <c r="D105" s="8" t="n">
        <f aca="false">IFERROR('Scenario Minutes'!D104/'Scenario Minutes'!$H104,0)</f>
        <v>0.698780580171173</v>
      </c>
      <c r="E105" s="8" t="n">
        <f aca="false">IFERROR('Scenario Minutes'!E104/'Scenario Minutes'!$H104,0)</f>
        <v>0.106061753641849</v>
      </c>
      <c r="F105" s="8" t="n">
        <f aca="false">IFERROR('Scenario Minutes'!F104/'Scenario Minutes'!$H104,0)</f>
        <v>0.0737206190512257</v>
      </c>
      <c r="G105" s="8" t="n">
        <f aca="false">IFERROR('Scenario Minutes'!G104/'Scenario Minutes'!$H104,0)</f>
        <v>0</v>
      </c>
    </row>
    <row r="106" customFormat="false" ht="15" hidden="false" customHeight="false" outlineLevel="0" collapsed="false">
      <c r="A106" s="7" t="s">
        <v>45</v>
      </c>
      <c r="B106" s="7" t="s">
        <v>68</v>
      </c>
      <c r="C106" s="8" t="n">
        <f aca="false">IFERROR('Scenario Minutes'!C105/'Scenario Minutes'!$H105,0)</f>
        <v>0.22822966507177</v>
      </c>
      <c r="D106" s="8" t="n">
        <f aca="false">IFERROR('Scenario Minutes'!D105/'Scenario Minutes'!$H105,0)</f>
        <v>0.724049357844372</v>
      </c>
      <c r="E106" s="8" t="n">
        <f aca="false">IFERROR('Scenario Minutes'!E105/'Scenario Minutes'!$H105,0)</f>
        <v>0</v>
      </c>
      <c r="F106" s="8" t="n">
        <f aca="false">IFERROR('Scenario Minutes'!F105/'Scenario Minutes'!$H105,0)</f>
        <v>0.047720977083858</v>
      </c>
      <c r="G106" s="8" t="n">
        <f aca="false">IFERROR('Scenario Minutes'!G105/'Scenario Minutes'!$H105,0)</f>
        <v>0</v>
      </c>
    </row>
    <row r="107" customFormat="false" ht="15" hidden="false" customHeight="false" outlineLevel="0" collapsed="false">
      <c r="A107" s="7" t="s">
        <v>46</v>
      </c>
      <c r="B107" s="7" t="s">
        <v>68</v>
      </c>
      <c r="C107" s="8" t="n">
        <f aca="false">IFERROR('Scenario Minutes'!C106/'Scenario Minutes'!$H106,0)</f>
        <v>0.311360767482959</v>
      </c>
      <c r="D107" s="8" t="n">
        <f aca="false">IFERROR('Scenario Minutes'!D106/'Scenario Minutes'!$H106,0)</f>
        <v>0.43163342590255</v>
      </c>
      <c r="E107" s="8" t="n">
        <f aca="false">IFERROR('Scenario Minutes'!E106/'Scenario Minutes'!$H106,0)</f>
        <v>0.201792476647311</v>
      </c>
      <c r="F107" s="8" t="n">
        <f aca="false">IFERROR('Scenario Minutes'!F106/'Scenario Minutes'!$H106,0)</f>
        <v>0.05521332996718</v>
      </c>
      <c r="G107" s="8" t="n">
        <f aca="false">IFERROR('Scenario Minutes'!G106/'Scenario Minutes'!$H106,0)</f>
        <v>0</v>
      </c>
    </row>
    <row r="108" customFormat="false" ht="15" hidden="false" customHeight="false" outlineLevel="0" collapsed="false">
      <c r="A108" s="7" t="s">
        <v>47</v>
      </c>
      <c r="B108" s="7" t="s">
        <v>68</v>
      </c>
      <c r="C108" s="8" t="n">
        <f aca="false">IFERROR('Scenario Minutes'!C107/'Scenario Minutes'!$H107,0)</f>
        <v>0.543274720255766</v>
      </c>
      <c r="D108" s="8" t="n">
        <f aca="false">IFERROR('Scenario Minutes'!D107/'Scenario Minutes'!$H107,0)</f>
        <v>0.403136180254244</v>
      </c>
      <c r="E108" s="8" t="n">
        <f aca="false">IFERROR('Scenario Minutes'!E107/'Scenario Minutes'!$H107,0)</f>
        <v>0.00342543959808175</v>
      </c>
      <c r="F108" s="8" t="n">
        <f aca="false">IFERROR('Scenario Minutes'!F107/'Scenario Minutes'!$H107,0)</f>
        <v>0.0501636598919084</v>
      </c>
      <c r="G108" s="8" t="n">
        <f aca="false">IFERROR('Scenario Minutes'!G107/'Scenario Minutes'!$H107,0)</f>
        <v>0</v>
      </c>
    </row>
    <row r="109" customFormat="false" ht="15" hidden="false" customHeight="false" outlineLevel="0" collapsed="false">
      <c r="A109" s="7" t="s">
        <v>48</v>
      </c>
      <c r="B109" s="7" t="s">
        <v>68</v>
      </c>
      <c r="C109" s="8" t="n">
        <f aca="false">IFERROR('Scenario Minutes'!C108/'Scenario Minutes'!$H108,0)</f>
        <v>0.491198912140213</v>
      </c>
      <c r="D109" s="8" t="n">
        <f aca="false">IFERROR('Scenario Minutes'!D108/'Scenario Minutes'!$H108,0)</f>
        <v>0.30880612424769</v>
      </c>
      <c r="E109" s="8" t="n">
        <f aca="false">IFERROR('Scenario Minutes'!E108/'Scenario Minutes'!$H108,0)</f>
        <v>0.114401551207474</v>
      </c>
      <c r="F109" s="8" t="n">
        <f aca="false">IFERROR('Scenario Minutes'!F108/'Scenario Minutes'!$H108,0)</f>
        <v>0.0855934124046234</v>
      </c>
      <c r="G109" s="8" t="n">
        <f aca="false">IFERROR('Scenario Minutes'!G108/'Scenario Minutes'!$H108,0)</f>
        <v>0</v>
      </c>
    </row>
    <row r="110" customFormat="false" ht="15" hidden="false" customHeight="false" outlineLevel="0" collapsed="false">
      <c r="A110" s="7" t="s">
        <v>43</v>
      </c>
      <c r="B110" s="7" t="s">
        <v>69</v>
      </c>
      <c r="C110" s="8" t="n">
        <f aca="false">IFERROR('Scenario Minutes'!C109/'Scenario Minutes'!$H109,0)</f>
        <v>0.366304347826087</v>
      </c>
      <c r="D110" s="8" t="n">
        <f aca="false">IFERROR('Scenario Minutes'!D109/'Scenario Minutes'!$H109,0)</f>
        <v>0.410010111223458</v>
      </c>
      <c r="E110" s="8" t="n">
        <f aca="false">IFERROR('Scenario Minutes'!E109/'Scenario Minutes'!$H109,0)</f>
        <v>0.107103134479272</v>
      </c>
      <c r="F110" s="8" t="n">
        <f aca="false">IFERROR('Scenario Minutes'!F109/'Scenario Minutes'!$H109,0)</f>
        <v>0.116582406471183</v>
      </c>
      <c r="G110" s="8" t="n">
        <f aca="false">IFERROR('Scenario Minutes'!G109/'Scenario Minutes'!$H109,0)</f>
        <v>0</v>
      </c>
    </row>
    <row r="111" customFormat="false" ht="15" hidden="false" customHeight="false" outlineLevel="0" collapsed="false">
      <c r="A111" s="7" t="s">
        <v>45</v>
      </c>
      <c r="B111" s="7" t="s">
        <v>69</v>
      </c>
      <c r="C111" s="8" t="n">
        <f aca="false">IFERROR('Scenario Minutes'!C110/'Scenario Minutes'!$H110,0)</f>
        <v>0.200985844287159</v>
      </c>
      <c r="D111" s="8" t="n">
        <f aca="false">IFERROR('Scenario Minutes'!D110/'Scenario Minutes'!$H110,0)</f>
        <v>0.566430738119312</v>
      </c>
      <c r="E111" s="8" t="n">
        <f aca="false">IFERROR('Scenario Minutes'!E110/'Scenario Minutes'!$H110,0)</f>
        <v>0.144186046511628</v>
      </c>
      <c r="F111" s="8" t="n">
        <f aca="false">IFERROR('Scenario Minutes'!F110/'Scenario Minutes'!$H110,0)</f>
        <v>0.0883973710819009</v>
      </c>
      <c r="G111" s="8" t="n">
        <f aca="false">IFERROR('Scenario Minutes'!G110/'Scenario Minutes'!$H110,0)</f>
        <v>0</v>
      </c>
    </row>
    <row r="112" customFormat="false" ht="15" hidden="false" customHeight="false" outlineLevel="0" collapsed="false">
      <c r="A112" s="7" t="s">
        <v>46</v>
      </c>
      <c r="B112" s="7" t="s">
        <v>69</v>
      </c>
      <c r="C112" s="8" t="n">
        <f aca="false">IFERROR('Scenario Minutes'!C111/'Scenario Minutes'!$H111,0)</f>
        <v>0.290394337714864</v>
      </c>
      <c r="D112" s="8" t="n">
        <f aca="false">IFERROR('Scenario Minutes'!D111/'Scenario Minutes'!$H111,0)</f>
        <v>0.576112234580384</v>
      </c>
      <c r="E112" s="8" t="n">
        <f aca="false">IFERROR('Scenario Minutes'!E111/'Scenario Minutes'!$H111,0)</f>
        <v>0</v>
      </c>
      <c r="F112" s="8" t="n">
        <f aca="false">IFERROR('Scenario Minutes'!F111/'Scenario Minutes'!$H111,0)</f>
        <v>0.133493427704752</v>
      </c>
      <c r="G112" s="8" t="n">
        <f aca="false">IFERROR('Scenario Minutes'!G111/'Scenario Minutes'!$H111,0)</f>
        <v>0</v>
      </c>
    </row>
    <row r="113" customFormat="false" ht="15" hidden="false" customHeight="false" outlineLevel="0" collapsed="false">
      <c r="A113" s="7" t="s">
        <v>47</v>
      </c>
      <c r="B113" s="7" t="s">
        <v>69</v>
      </c>
      <c r="C113" s="8" t="n">
        <f aca="false">IFERROR('Scenario Minutes'!C112/'Scenario Minutes'!$H112,0)</f>
        <v>0.368803852002027</v>
      </c>
      <c r="D113" s="8" t="n">
        <f aca="false">IFERROR('Scenario Minutes'!D112/'Scenario Minutes'!$H112,0)</f>
        <v>0.52544348707552</v>
      </c>
      <c r="E113" s="8" t="n">
        <f aca="false">IFERROR('Scenario Minutes'!E112/'Scenario Minutes'!$H112,0)</f>
        <v>0.0402179422199696</v>
      </c>
      <c r="F113" s="8" t="n">
        <f aca="false">IFERROR('Scenario Minutes'!F112/'Scenario Minutes'!$H112,0)</f>
        <v>0.0655347187024835</v>
      </c>
      <c r="G113" s="8" t="n">
        <f aca="false">IFERROR('Scenario Minutes'!G112/'Scenario Minutes'!$H112,0)</f>
        <v>0</v>
      </c>
    </row>
    <row r="114" customFormat="false" ht="15" hidden="false" customHeight="false" outlineLevel="0" collapsed="false">
      <c r="A114" s="7" t="s">
        <v>48</v>
      </c>
      <c r="B114" s="7" t="s">
        <v>69</v>
      </c>
      <c r="C114" s="8" t="n">
        <f aca="false">IFERROR('Scenario Minutes'!C113/'Scenario Minutes'!$H113,0)</f>
        <v>0.176122037317196</v>
      </c>
      <c r="D114" s="8" t="n">
        <f aca="false">IFERROR('Scenario Minutes'!D113/'Scenario Minutes'!$H113,0)</f>
        <v>0.6351235501765</v>
      </c>
      <c r="E114" s="8" t="n">
        <f aca="false">IFERROR('Scenario Minutes'!E113/'Scenario Minutes'!$H113,0)</f>
        <v>0.14357034795764</v>
      </c>
      <c r="F114" s="8" t="n">
        <f aca="false">IFERROR('Scenario Minutes'!F113/'Scenario Minutes'!$H113,0)</f>
        <v>0.0451840645486636</v>
      </c>
      <c r="G114" s="8" t="n">
        <f aca="false">IFERROR('Scenario Minutes'!G113/'Scenario Minutes'!$H113,0)</f>
        <v>0</v>
      </c>
    </row>
    <row r="115" customFormat="false" ht="15" hidden="false" customHeight="false" outlineLevel="0" collapsed="false">
      <c r="A115" s="7" t="s">
        <v>43</v>
      </c>
      <c r="B115" s="7" t="s">
        <v>70</v>
      </c>
      <c r="C115" s="8" t="n">
        <f aca="false">IFERROR('Scenario Minutes'!C114/'Scenario Minutes'!$H114,0)</f>
        <v>0.317495581923757</v>
      </c>
      <c r="D115" s="8" t="n">
        <f aca="false">IFERROR('Scenario Minutes'!D114/'Scenario Minutes'!$H114,0)</f>
        <v>0.491668770512497</v>
      </c>
      <c r="E115" s="8" t="n">
        <f aca="false">IFERROR('Scenario Minutes'!E114/'Scenario Minutes'!$H114,0)</f>
        <v>0.146276192880586</v>
      </c>
      <c r="F115" s="8" t="n">
        <f aca="false">IFERROR('Scenario Minutes'!F114/'Scenario Minutes'!$H114,0)</f>
        <v>0.0445594546831608</v>
      </c>
      <c r="G115" s="8" t="n">
        <f aca="false">IFERROR('Scenario Minutes'!G114/'Scenario Minutes'!$H114,0)</f>
        <v>0</v>
      </c>
    </row>
    <row r="116" customFormat="false" ht="15" hidden="false" customHeight="false" outlineLevel="0" collapsed="false">
      <c r="A116" s="7" t="s">
        <v>45</v>
      </c>
      <c r="B116" s="7" t="s">
        <v>70</v>
      </c>
      <c r="C116" s="8" t="n">
        <f aca="false">IFERROR('Scenario Minutes'!C115/'Scenario Minutes'!$H115,0)</f>
        <v>0.153118712273642</v>
      </c>
      <c r="D116" s="8" t="n">
        <f aca="false">IFERROR('Scenario Minutes'!D115/'Scenario Minutes'!$H115,0)</f>
        <v>0.457997987927565</v>
      </c>
      <c r="E116" s="8" t="n">
        <f aca="false">IFERROR('Scenario Minutes'!E115/'Scenario Minutes'!$H115,0)</f>
        <v>0.315593561368209</v>
      </c>
      <c r="F116" s="8" t="n">
        <f aca="false">IFERROR('Scenario Minutes'!F115/'Scenario Minutes'!$H115,0)</f>
        <v>0.0732897384305835</v>
      </c>
      <c r="G116" s="8" t="n">
        <f aca="false">IFERROR('Scenario Minutes'!G115/'Scenario Minutes'!$H115,0)</f>
        <v>0</v>
      </c>
    </row>
    <row r="117" customFormat="false" ht="15" hidden="false" customHeight="false" outlineLevel="0" collapsed="false">
      <c r="A117" s="7" t="s">
        <v>46</v>
      </c>
      <c r="B117" s="7" t="s">
        <v>70</v>
      </c>
      <c r="C117" s="8" t="n">
        <f aca="false">IFERROR('Scenario Minutes'!C116/'Scenario Minutes'!$H116,0)</f>
        <v>0.16304347826087</v>
      </c>
      <c r="D117" s="8" t="n">
        <f aca="false">IFERROR('Scenario Minutes'!D116/'Scenario Minutes'!$H116,0)</f>
        <v>0.657633973710819</v>
      </c>
      <c r="E117" s="8" t="n">
        <f aca="false">IFERROR('Scenario Minutes'!E116/'Scenario Minutes'!$H116,0)</f>
        <v>0.133088978766431</v>
      </c>
      <c r="F117" s="8" t="n">
        <f aca="false">IFERROR('Scenario Minutes'!F116/'Scenario Minutes'!$H116,0)</f>
        <v>0.0462335692618807</v>
      </c>
      <c r="G117" s="8" t="n">
        <f aca="false">IFERROR('Scenario Minutes'!G116/'Scenario Minutes'!$H116,0)</f>
        <v>0</v>
      </c>
    </row>
    <row r="118" customFormat="false" ht="15" hidden="false" customHeight="false" outlineLevel="0" collapsed="false">
      <c r="A118" s="7" t="s">
        <v>47</v>
      </c>
      <c r="B118" s="7" t="s">
        <v>70</v>
      </c>
      <c r="C118" s="8" t="n">
        <f aca="false">IFERROR('Scenario Minutes'!C117/'Scenario Minutes'!$H117,0)</f>
        <v>0.204014137843979</v>
      </c>
      <c r="D118" s="8" t="n">
        <f aca="false">IFERROR('Scenario Minutes'!D117/'Scenario Minutes'!$H117,0)</f>
        <v>0.664074728603888</v>
      </c>
      <c r="E118" s="8" t="n">
        <f aca="false">IFERROR('Scenario Minutes'!E117/'Scenario Minutes'!$H117,0)</f>
        <v>0.0782378187326433</v>
      </c>
      <c r="F118" s="8" t="n">
        <f aca="false">IFERROR('Scenario Minutes'!F117/'Scenario Minutes'!$H117,0)</f>
        <v>0.05367331481949</v>
      </c>
      <c r="G118" s="8" t="n">
        <f aca="false">IFERROR('Scenario Minutes'!G117/'Scenario Minutes'!$H117,0)</f>
        <v>0</v>
      </c>
    </row>
    <row r="119" customFormat="false" ht="15" hidden="false" customHeight="false" outlineLevel="0" collapsed="false">
      <c r="A119" s="7" t="s">
        <v>48</v>
      </c>
      <c r="B119" s="7" t="s">
        <v>70</v>
      </c>
      <c r="C119" s="8" t="n">
        <f aca="false">IFERROR('Scenario Minutes'!C118/'Scenario Minutes'!$H118,0)</f>
        <v>0.310555569527929</v>
      </c>
      <c r="D119" s="8" t="n">
        <f aca="false">IFERROR('Scenario Minutes'!D118/'Scenario Minutes'!$H118,0)</f>
        <v>0.588717587585825</v>
      </c>
      <c r="E119" s="8" t="n">
        <f aca="false">IFERROR('Scenario Minutes'!E118/'Scenario Minutes'!$H118,0)</f>
        <v>0.0385805185986268</v>
      </c>
      <c r="F119" s="8" t="n">
        <f aca="false">IFERROR('Scenario Minutes'!F118/'Scenario Minutes'!$H118,0)</f>
        <v>0.0621463242876185</v>
      </c>
      <c r="G119" s="8" t="n">
        <f aca="false">IFERROR('Scenario Minutes'!G118/'Scenario Minutes'!$H118,0)</f>
        <v>0</v>
      </c>
    </row>
    <row r="120" customFormat="false" ht="15" hidden="false" customHeight="false" outlineLevel="0" collapsed="false">
      <c r="A120" s="7" t="s">
        <v>43</v>
      </c>
      <c r="B120" s="7" t="s">
        <v>71</v>
      </c>
      <c r="C120" s="8" t="n">
        <f aca="false">IFERROR('Scenario Minutes'!C119/'Scenario Minutes'!$H119,0)</f>
        <v>0.258344104006691</v>
      </c>
      <c r="D120" s="8" t="n">
        <f aca="false">IFERROR('Scenario Minutes'!D119/'Scenario Minutes'!$H119,0)</f>
        <v>0.442053777338503</v>
      </c>
      <c r="E120" s="8" t="n">
        <f aca="false">IFERROR('Scenario Minutes'!E119/'Scenario Minutes'!$H119,0)</f>
        <v>0.1911097594972</v>
      </c>
      <c r="F120" s="8" t="n">
        <f aca="false">IFERROR('Scenario Minutes'!F119/'Scenario Minutes'!$H119,0)</f>
        <v>0.108492359157607</v>
      </c>
      <c r="G120" s="8" t="n">
        <f aca="false">IFERROR('Scenario Minutes'!G119/'Scenario Minutes'!$H119,0)</f>
        <v>0</v>
      </c>
    </row>
    <row r="121" customFormat="false" ht="15" hidden="false" customHeight="false" outlineLevel="0" collapsed="false">
      <c r="A121" s="7" t="s">
        <v>45</v>
      </c>
      <c r="B121" s="7" t="s">
        <v>71</v>
      </c>
      <c r="C121" s="8" t="n">
        <f aca="false">IFERROR('Scenario Minutes'!C120/'Scenario Minutes'!$H120,0)</f>
        <v>0.206567073633124</v>
      </c>
      <c r="D121" s="8" t="n">
        <f aca="false">IFERROR('Scenario Minutes'!D120/'Scenario Minutes'!$H120,0)</f>
        <v>0.607315285255681</v>
      </c>
      <c r="E121" s="8" t="n">
        <f aca="false">IFERROR('Scenario Minutes'!E120/'Scenario Minutes'!$H120,0)</f>
        <v>0.072925355779682</v>
      </c>
      <c r="F121" s="8" t="n">
        <f aca="false">IFERROR('Scenario Minutes'!F120/'Scenario Minutes'!$H120,0)</f>
        <v>0.113192285331513</v>
      </c>
      <c r="G121" s="8" t="n">
        <f aca="false">IFERROR('Scenario Minutes'!G120/'Scenario Minutes'!$H120,0)</f>
        <v>0</v>
      </c>
    </row>
    <row r="122" customFormat="false" ht="15" hidden="false" customHeight="false" outlineLevel="0" collapsed="false">
      <c r="A122" s="7" t="s">
        <v>46</v>
      </c>
      <c r="B122" s="7" t="s">
        <v>71</v>
      </c>
      <c r="C122" s="8" t="n">
        <f aca="false">IFERROR('Scenario Minutes'!C121/'Scenario Minutes'!$H121,0)</f>
        <v>0.212057633973711</v>
      </c>
      <c r="D122" s="8" t="n">
        <f aca="false">IFERROR('Scenario Minutes'!D121/'Scenario Minutes'!$H121,0)</f>
        <v>0.625960566228514</v>
      </c>
      <c r="E122" s="8" t="n">
        <f aca="false">IFERROR('Scenario Minutes'!E121/'Scenario Minutes'!$H121,0)</f>
        <v>0.127123356926188</v>
      </c>
      <c r="F122" s="8" t="n">
        <f aca="false">IFERROR('Scenario Minutes'!F121/'Scenario Minutes'!$H121,0)</f>
        <v>0.0348584428715875</v>
      </c>
      <c r="G122" s="8" t="n">
        <f aca="false">IFERROR('Scenario Minutes'!G121/'Scenario Minutes'!$H121,0)</f>
        <v>0</v>
      </c>
    </row>
    <row r="123" customFormat="false" ht="15" hidden="false" customHeight="false" outlineLevel="0" collapsed="false">
      <c r="A123" s="7" t="s">
        <v>47</v>
      </c>
      <c r="B123" s="7" t="s">
        <v>71</v>
      </c>
      <c r="C123" s="8" t="n">
        <f aca="false">IFERROR('Scenario Minutes'!C122/'Scenario Minutes'!$H122,0)</f>
        <v>0.326819797786238</v>
      </c>
      <c r="D123" s="8" t="n">
        <f aca="false">IFERROR('Scenario Minutes'!D122/'Scenario Minutes'!$H122,0)</f>
        <v>0.612238723178942</v>
      </c>
      <c r="E123" s="8" t="n">
        <f aca="false">IFERROR('Scenario Minutes'!E122/'Scenario Minutes'!$H122,0)</f>
        <v>0.0311641158821008</v>
      </c>
      <c r="F123" s="8" t="n">
        <f aca="false">IFERROR('Scenario Minutes'!F122/'Scenario Minutes'!$H122,0)</f>
        <v>0.0297773631527193</v>
      </c>
      <c r="G123" s="8" t="n">
        <f aca="false">IFERROR('Scenario Minutes'!G122/'Scenario Minutes'!$H122,0)</f>
        <v>0</v>
      </c>
    </row>
    <row r="124" customFormat="false" ht="15" hidden="false" customHeight="false" outlineLevel="0" collapsed="false">
      <c r="A124" s="7" t="s">
        <v>48</v>
      </c>
      <c r="B124" s="7" t="s">
        <v>71</v>
      </c>
      <c r="C124" s="8" t="n">
        <f aca="false">IFERROR('Scenario Minutes'!C123/'Scenario Minutes'!$H123,0)</f>
        <v>0.292768736237313</v>
      </c>
      <c r="D124" s="8" t="n">
        <f aca="false">IFERROR('Scenario Minutes'!D123/'Scenario Minutes'!$H123,0)</f>
        <v>0.56908552481713</v>
      </c>
      <c r="E124" s="8" t="n">
        <f aca="false">IFERROR('Scenario Minutes'!E123/'Scenario Minutes'!$H123,0)</f>
        <v>0.0783365815383837</v>
      </c>
      <c r="F124" s="8" t="n">
        <f aca="false">IFERROR('Scenario Minutes'!F123/'Scenario Minutes'!$H123,0)</f>
        <v>0.0598091574071731</v>
      </c>
      <c r="G124" s="8" t="n">
        <f aca="false">IFERROR('Scenario Minutes'!G123/'Scenario Minutes'!$H123,0)</f>
        <v>0</v>
      </c>
    </row>
    <row r="125" customFormat="false" ht="15" hidden="false" customHeight="false" outlineLevel="0" collapsed="false">
      <c r="A125" s="7" t="s">
        <v>43</v>
      </c>
      <c r="B125" s="7" t="s">
        <v>72</v>
      </c>
      <c r="C125" s="8" t="n">
        <f aca="false">IFERROR('Scenario Minutes'!C124/'Scenario Minutes'!$H124,0)</f>
        <v>0.163051191079574</v>
      </c>
      <c r="D125" s="8" t="n">
        <f aca="false">IFERROR('Scenario Minutes'!D124/'Scenario Minutes'!$H124,0)</f>
        <v>0.621870248352762</v>
      </c>
      <c r="E125" s="8" t="n">
        <f aca="false">IFERROR('Scenario Minutes'!E124/'Scenario Minutes'!$H124,0)</f>
        <v>0.0694880892042575</v>
      </c>
      <c r="F125" s="8" t="n">
        <f aca="false">IFERROR('Scenario Minutes'!F124/'Scenario Minutes'!$H124,0)</f>
        <v>0.145590471363406</v>
      </c>
      <c r="G125" s="8" t="n">
        <f aca="false">IFERROR('Scenario Minutes'!G124/'Scenario Minutes'!$H124,0)</f>
        <v>0</v>
      </c>
    </row>
    <row r="126" customFormat="false" ht="15" hidden="false" customHeight="false" outlineLevel="0" collapsed="false">
      <c r="A126" s="7" t="s">
        <v>45</v>
      </c>
      <c r="B126" s="7" t="s">
        <v>72</v>
      </c>
      <c r="C126" s="8" t="n">
        <f aca="false">IFERROR('Scenario Minutes'!C125/'Scenario Minutes'!$H125,0)</f>
        <v>0.270038772458883</v>
      </c>
      <c r="D126" s="8" t="n">
        <f aca="false">IFERROR('Scenario Minutes'!D125/'Scenario Minutes'!$H125,0)</f>
        <v>0.496971693570867</v>
      </c>
      <c r="E126" s="8" t="n">
        <f aca="false">IFERROR('Scenario Minutes'!E125/'Scenario Minutes'!$H125,0)</f>
        <v>0.139834266744381</v>
      </c>
      <c r="F126" s="8" t="n">
        <f aca="false">IFERROR('Scenario Minutes'!F125/'Scenario Minutes'!$H125,0)</f>
        <v>0.0931552672258686</v>
      </c>
      <c r="G126" s="8" t="n">
        <f aca="false">IFERROR('Scenario Minutes'!G125/'Scenario Minutes'!$H125,0)</f>
        <v>0</v>
      </c>
    </row>
    <row r="127" customFormat="false" ht="15" hidden="false" customHeight="false" outlineLevel="0" collapsed="false">
      <c r="A127" s="7" t="s">
        <v>46</v>
      </c>
      <c r="B127" s="7" t="s">
        <v>72</v>
      </c>
      <c r="C127" s="8" t="n">
        <f aca="false">IFERROR('Scenario Minutes'!C126/'Scenario Minutes'!$H126,0)</f>
        <v>0.185513078470825</v>
      </c>
      <c r="D127" s="8" t="n">
        <f aca="false">IFERROR('Scenario Minutes'!D126/'Scenario Minutes'!$H126,0)</f>
        <v>0.663883299798793</v>
      </c>
      <c r="E127" s="8" t="n">
        <f aca="false">IFERROR('Scenario Minutes'!E126/'Scenario Minutes'!$H126,0)</f>
        <v>0.0539989939637827</v>
      </c>
      <c r="F127" s="8" t="n">
        <f aca="false">IFERROR('Scenario Minutes'!F126/'Scenario Minutes'!$H126,0)</f>
        <v>0.0966046277665996</v>
      </c>
      <c r="G127" s="8" t="n">
        <f aca="false">IFERROR('Scenario Minutes'!G126/'Scenario Minutes'!$H126,0)</f>
        <v>0</v>
      </c>
    </row>
    <row r="128" customFormat="false" ht="15" hidden="false" customHeight="false" outlineLevel="0" collapsed="false">
      <c r="A128" s="7" t="s">
        <v>47</v>
      </c>
      <c r="B128" s="7" t="s">
        <v>72</v>
      </c>
      <c r="C128" s="8" t="n">
        <f aca="false">IFERROR('Scenario Minutes'!C127/'Scenario Minutes'!$H127,0)</f>
        <v>0.267138523761375</v>
      </c>
      <c r="D128" s="8" t="n">
        <f aca="false">IFERROR('Scenario Minutes'!D127/'Scenario Minutes'!$H127,0)</f>
        <v>0.526870576339737</v>
      </c>
      <c r="E128" s="8" t="n">
        <f aca="false">IFERROR('Scenario Minutes'!E127/'Scenario Minutes'!$H127,0)</f>
        <v>0.146006066734075</v>
      </c>
      <c r="F128" s="8" t="n">
        <f aca="false">IFERROR('Scenario Minutes'!F127/'Scenario Minutes'!$H127,0)</f>
        <v>0.0599848331648129</v>
      </c>
      <c r="G128" s="8" t="n">
        <f aca="false">IFERROR('Scenario Minutes'!G127/'Scenario Minutes'!$H127,0)</f>
        <v>0</v>
      </c>
    </row>
    <row r="129" customFormat="false" ht="15" hidden="false" customHeight="false" outlineLevel="0" collapsed="false">
      <c r="A129" s="7" t="s">
        <v>48</v>
      </c>
      <c r="B129" s="7" t="s">
        <v>72</v>
      </c>
      <c r="C129" s="8" t="n">
        <f aca="false">IFERROR('Scenario Minutes'!C128/'Scenario Minutes'!$H128,0)</f>
        <v>0.290483421918502</v>
      </c>
      <c r="D129" s="8" t="n">
        <f aca="false">IFERROR('Scenario Minutes'!D128/'Scenario Minutes'!$H128,0)</f>
        <v>0.553935712477854</v>
      </c>
      <c r="E129" s="8" t="n">
        <f aca="false">IFERROR('Scenario Minutes'!E128/'Scenario Minutes'!$H128,0)</f>
        <v>0.112908124525437</v>
      </c>
      <c r="F129" s="8" t="n">
        <f aca="false">IFERROR('Scenario Minutes'!F128/'Scenario Minutes'!$H128,0)</f>
        <v>0.042672741078208</v>
      </c>
      <c r="G129" s="8" t="n">
        <f aca="false">IFERROR('Scenario Minutes'!G128/'Scenario Minutes'!$H128,0)</f>
        <v>0</v>
      </c>
    </row>
    <row r="130" customFormat="false" ht="15" hidden="false" customHeight="false" outlineLevel="0" collapsed="false">
      <c r="A130" s="7" t="s">
        <v>43</v>
      </c>
      <c r="B130" s="7" t="s">
        <v>73</v>
      </c>
      <c r="C130" s="8" t="n">
        <f aca="false">IFERROR('Scenario Minutes'!C129/'Scenario Minutes'!$H129,0)</f>
        <v>0.232567533451149</v>
      </c>
      <c r="D130" s="8" t="n">
        <f aca="false">IFERROR('Scenario Minutes'!D129/'Scenario Minutes'!$H129,0)</f>
        <v>0.698232769502651</v>
      </c>
      <c r="E130" s="8" t="n">
        <f aca="false">IFERROR('Scenario Minutes'!E129/'Scenario Minutes'!$H129,0)</f>
        <v>0.000530169149204746</v>
      </c>
      <c r="F130" s="8" t="n">
        <f aca="false">IFERROR('Scenario Minutes'!F129/'Scenario Minutes'!$H129,0)</f>
        <v>0.0686695278969957</v>
      </c>
      <c r="G130" s="8" t="n">
        <f aca="false">IFERROR('Scenario Minutes'!G129/'Scenario Minutes'!$H129,0)</f>
        <v>0</v>
      </c>
    </row>
    <row r="131" customFormat="false" ht="15" hidden="false" customHeight="false" outlineLevel="0" collapsed="false">
      <c r="A131" s="7" t="s">
        <v>45</v>
      </c>
      <c r="B131" s="7" t="s">
        <v>73</v>
      </c>
      <c r="C131" s="8" t="n">
        <f aca="false">IFERROR('Scenario Minutes'!C130/'Scenario Minutes'!$H130,0)</f>
        <v>0.194200706001009</v>
      </c>
      <c r="D131" s="8" t="n">
        <f aca="false">IFERROR('Scenario Minutes'!D130/'Scenario Minutes'!$H130,0)</f>
        <v>0.542586989409985</v>
      </c>
      <c r="E131" s="8" t="n">
        <f aca="false">IFERROR('Scenario Minutes'!E130/'Scenario Minutes'!$H130,0)</f>
        <v>0.227054967221382</v>
      </c>
      <c r="F131" s="8" t="n">
        <f aca="false">IFERROR('Scenario Minutes'!F130/'Scenario Minutes'!$H130,0)</f>
        <v>0.0361573373676248</v>
      </c>
      <c r="G131" s="8" t="n">
        <f aca="false">IFERROR('Scenario Minutes'!G130/'Scenario Minutes'!$H130,0)</f>
        <v>0</v>
      </c>
    </row>
    <row r="132" customFormat="false" ht="15" hidden="false" customHeight="false" outlineLevel="0" collapsed="false">
      <c r="A132" s="7" t="s">
        <v>46</v>
      </c>
      <c r="B132" s="7" t="s">
        <v>73</v>
      </c>
      <c r="C132" s="8" t="n">
        <f aca="false">IFERROR('Scenario Minutes'!C131/'Scenario Minutes'!$H131,0)</f>
        <v>0.265600604381768</v>
      </c>
      <c r="D132" s="8" t="n">
        <f aca="false">IFERROR('Scenario Minutes'!D131/'Scenario Minutes'!$H131,0)</f>
        <v>0.411986905061697</v>
      </c>
      <c r="E132" s="8" t="n">
        <f aca="false">IFERROR('Scenario Minutes'!E131/'Scenario Minutes'!$H131,0)</f>
        <v>0.168446235205238</v>
      </c>
      <c r="F132" s="8" t="n">
        <f aca="false">IFERROR('Scenario Minutes'!F131/'Scenario Minutes'!$H131,0)</f>
        <v>0.025258121380005</v>
      </c>
      <c r="G132" s="8" t="n">
        <f aca="false">IFERROR('Scenario Minutes'!G131/'Scenario Minutes'!$H131,0)</f>
        <v>0.128708133971292</v>
      </c>
    </row>
    <row r="133" customFormat="false" ht="15" hidden="false" customHeight="false" outlineLevel="0" collapsed="false">
      <c r="A133" s="7" t="s">
        <v>47</v>
      </c>
      <c r="B133" s="7" t="s">
        <v>73</v>
      </c>
      <c r="C133" s="8" t="n">
        <f aca="false">IFERROR('Scenario Minutes'!C132/'Scenario Minutes'!$H132,0)</f>
        <v>0.293888329979879</v>
      </c>
      <c r="D133" s="8" t="n">
        <f aca="false">IFERROR('Scenario Minutes'!D132/'Scenario Minutes'!$H132,0)</f>
        <v>0.513254527162978</v>
      </c>
      <c r="E133" s="8" t="n">
        <f aca="false">IFERROR('Scenario Minutes'!E132/'Scenario Minutes'!$H132,0)</f>
        <v>0.157570422535211</v>
      </c>
      <c r="F133" s="8" t="n">
        <f aca="false">IFERROR('Scenario Minutes'!F132/'Scenario Minutes'!$H132,0)</f>
        <v>0.0352867203219316</v>
      </c>
      <c r="G133" s="8" t="n">
        <f aca="false">IFERROR('Scenario Minutes'!G132/'Scenario Minutes'!$H132,0)</f>
        <v>0</v>
      </c>
    </row>
    <row r="134" customFormat="false" ht="15" hidden="false" customHeight="false" outlineLevel="0" collapsed="false">
      <c r="A134" s="7" t="s">
        <v>48</v>
      </c>
      <c r="B134" s="7" t="s">
        <v>73</v>
      </c>
      <c r="C134" s="8" t="n">
        <f aca="false">IFERROR('Scenario Minutes'!C133/'Scenario Minutes'!$H133,0)</f>
        <v>0.200025310048089</v>
      </c>
      <c r="D134" s="8" t="n">
        <f aca="false">IFERROR('Scenario Minutes'!D133/'Scenario Minutes'!$H133,0)</f>
        <v>0.647810680840294</v>
      </c>
      <c r="E134" s="8" t="n">
        <f aca="false">IFERROR('Scenario Minutes'!E133/'Scenario Minutes'!$H133,0)</f>
        <v>0.102708175145533</v>
      </c>
      <c r="F134" s="8" t="n">
        <f aca="false">IFERROR('Scenario Minutes'!F133/'Scenario Minutes'!$H133,0)</f>
        <v>0.0494558339660845</v>
      </c>
      <c r="G134" s="8" t="n">
        <f aca="false">IFERROR('Scenario Minutes'!G133/'Scenario Minutes'!$H133,0)</f>
        <v>0</v>
      </c>
    </row>
    <row r="135" customFormat="false" ht="15" hidden="false" customHeight="false" outlineLevel="0" collapsed="false">
      <c r="A135" s="7" t="s">
        <v>43</v>
      </c>
      <c r="B135" s="7" t="s">
        <v>74</v>
      </c>
      <c r="C135" s="8" t="n">
        <f aca="false">IFERROR('Scenario Minutes'!C134/'Scenario Minutes'!$H134,0)</f>
        <v>0.244004039383994</v>
      </c>
      <c r="D135" s="8" t="n">
        <f aca="false">IFERROR('Scenario Minutes'!D134/'Scenario Minutes'!$H134,0)</f>
        <v>0.548548346377178</v>
      </c>
      <c r="E135" s="8" t="n">
        <f aca="false">IFERROR('Scenario Minutes'!E134/'Scenario Minutes'!$H134,0)</f>
        <v>0.077808634183287</v>
      </c>
      <c r="F135" s="8" t="n">
        <f aca="false">IFERROR('Scenario Minutes'!F134/'Scenario Minutes'!$H134,0)</f>
        <v>0.129638980055542</v>
      </c>
      <c r="G135" s="8" t="n">
        <f aca="false">IFERROR('Scenario Minutes'!G134/'Scenario Minutes'!$H134,0)</f>
        <v>0</v>
      </c>
    </row>
    <row r="136" customFormat="false" ht="15" hidden="false" customHeight="false" outlineLevel="0" collapsed="false">
      <c r="A136" s="7" t="s">
        <v>45</v>
      </c>
      <c r="B136" s="7" t="s">
        <v>74</v>
      </c>
      <c r="C136" s="8" t="n">
        <f aca="false">IFERROR('Scenario Minutes'!C135/'Scenario Minutes'!$H135,0)</f>
        <v>0.368965777744202</v>
      </c>
      <c r="D136" s="8" t="n">
        <f aca="false">IFERROR('Scenario Minutes'!D135/'Scenario Minutes'!$H135,0)</f>
        <v>0.462189317821259</v>
      </c>
      <c r="E136" s="8" t="n">
        <f aca="false">IFERROR('Scenario Minutes'!E135/'Scenario Minutes'!$H135,0)</f>
        <v>0.0769560071516708</v>
      </c>
      <c r="F136" s="8" t="n">
        <f aca="false">IFERROR('Scenario Minutes'!F135/'Scenario Minutes'!$H135,0)</f>
        <v>0.0918888972828687</v>
      </c>
      <c r="G136" s="8" t="n">
        <f aca="false">IFERROR('Scenario Minutes'!G135/'Scenario Minutes'!$H135,0)</f>
        <v>0</v>
      </c>
    </row>
    <row r="137" customFormat="false" ht="15" hidden="false" customHeight="false" outlineLevel="0" collapsed="false">
      <c r="A137" s="7" t="s">
        <v>46</v>
      </c>
      <c r="B137" s="7" t="s">
        <v>74</v>
      </c>
      <c r="C137" s="8" t="n">
        <f aca="false">IFERROR('Scenario Minutes'!C136/'Scenario Minutes'!$H136,0)</f>
        <v>0.439474546783994</v>
      </c>
      <c r="D137" s="8" t="n">
        <f aca="false">IFERROR('Scenario Minutes'!D136/'Scenario Minutes'!$H136,0)</f>
        <v>0.414765134515015</v>
      </c>
      <c r="E137" s="8" t="n">
        <f aca="false">IFERROR('Scenario Minutes'!E136/'Scenario Minutes'!$H136,0)</f>
        <v>0.101888505080558</v>
      </c>
      <c r="F137" s="8" t="n">
        <f aca="false">IFERROR('Scenario Minutes'!F136/'Scenario Minutes'!$H136,0)</f>
        <v>0.0438718136204332</v>
      </c>
      <c r="G137" s="8" t="n">
        <f aca="false">IFERROR('Scenario Minutes'!G136/'Scenario Minutes'!$H136,0)</f>
        <v>0</v>
      </c>
    </row>
    <row r="138" customFormat="false" ht="15" hidden="false" customHeight="false" outlineLevel="0" collapsed="false">
      <c r="A138" s="7" t="s">
        <v>47</v>
      </c>
      <c r="B138" s="7" t="s">
        <v>74</v>
      </c>
      <c r="C138" s="8" t="n">
        <f aca="false">IFERROR('Scenario Minutes'!C137/'Scenario Minutes'!$H137,0)</f>
        <v>0.304163815606072</v>
      </c>
      <c r="D138" s="8" t="n">
        <f aca="false">IFERROR('Scenario Minutes'!D137/'Scenario Minutes'!$H137,0)</f>
        <v>0.589447274386072</v>
      </c>
      <c r="E138" s="8" t="n">
        <f aca="false">IFERROR('Scenario Minutes'!E137/'Scenario Minutes'!$H137,0)</f>
        <v>0.0639397856002433</v>
      </c>
      <c r="F138" s="8" t="n">
        <f aca="false">IFERROR('Scenario Minutes'!F137/'Scenario Minutes'!$H137,0)</f>
        <v>0.042449124407613</v>
      </c>
      <c r="G138" s="8" t="n">
        <f aca="false">IFERROR('Scenario Minutes'!G137/'Scenario Minutes'!$H137,0)</f>
        <v>0</v>
      </c>
    </row>
    <row r="139" customFormat="false" ht="15" hidden="false" customHeight="false" outlineLevel="0" collapsed="false">
      <c r="A139" s="7" t="s">
        <v>48</v>
      </c>
      <c r="B139" s="7" t="s">
        <v>74</v>
      </c>
      <c r="C139" s="8" t="n">
        <f aca="false">IFERROR('Scenario Minutes'!C138/'Scenario Minutes'!$H138,0)</f>
        <v>0.370653826659909</v>
      </c>
      <c r="D139" s="8" t="n">
        <f aca="false">IFERROR('Scenario Minutes'!D138/'Scenario Minutes'!$H138,0)</f>
        <v>0.414698428788647</v>
      </c>
      <c r="E139" s="8" t="n">
        <f aca="false">IFERROR('Scenario Minutes'!E138/'Scenario Minutes'!$H138,0)</f>
        <v>0.175190065889508</v>
      </c>
      <c r="F139" s="8" t="n">
        <f aca="false">IFERROR('Scenario Minutes'!F138/'Scenario Minutes'!$H138,0)</f>
        <v>0.0394576786619361</v>
      </c>
      <c r="G139" s="8" t="n">
        <f aca="false">IFERROR('Scenario Minutes'!G138/'Scenario Minutes'!$H138,0)</f>
        <v>0</v>
      </c>
    </row>
    <row r="140" customFormat="false" ht="15" hidden="false" customHeight="false" outlineLevel="0" collapsed="false">
      <c r="A140" s="7" t="s">
        <v>43</v>
      </c>
      <c r="B140" s="7" t="s">
        <v>75</v>
      </c>
      <c r="C140" s="8" t="n">
        <f aca="false">IFERROR('Scenario Minutes'!C139/'Scenario Minutes'!$H139,0)</f>
        <v>0.191009821203727</v>
      </c>
      <c r="D140" s="8" t="n">
        <f aca="false">IFERROR('Scenario Minutes'!D139/'Scenario Minutes'!$H139,0)</f>
        <v>0.681641903802569</v>
      </c>
      <c r="E140" s="8" t="n">
        <f aca="false">IFERROR('Scenario Minutes'!E139/'Scenario Minutes'!$H139,0)</f>
        <v>0.0869050616973055</v>
      </c>
      <c r="F140" s="8" t="n">
        <f aca="false">IFERROR('Scenario Minutes'!F139/'Scenario Minutes'!$H139,0)</f>
        <v>0.0404432132963989</v>
      </c>
      <c r="G140" s="8" t="n">
        <f aca="false">IFERROR('Scenario Minutes'!G139/'Scenario Minutes'!$H139,0)</f>
        <v>0</v>
      </c>
    </row>
    <row r="141" customFormat="false" ht="15" hidden="false" customHeight="false" outlineLevel="0" collapsed="false">
      <c r="A141" s="7" t="s">
        <v>45</v>
      </c>
      <c r="B141" s="7" t="s">
        <v>75</v>
      </c>
      <c r="C141" s="8" t="n">
        <f aca="false">IFERROR('Scenario Minutes'!C140/'Scenario Minutes'!$H140,0)</f>
        <v>0.211542831174733</v>
      </c>
      <c r="D141" s="8" t="n">
        <f aca="false">IFERROR('Scenario Minutes'!D140/'Scenario Minutes'!$H140,0)</f>
        <v>0.557423817819183</v>
      </c>
      <c r="E141" s="8" t="n">
        <f aca="false">IFERROR('Scenario Minutes'!E140/'Scenario Minutes'!$H140,0)</f>
        <v>0.206720694791588</v>
      </c>
      <c r="F141" s="8" t="n">
        <f aca="false">IFERROR('Scenario Minutes'!F140/'Scenario Minutes'!$H140,0)</f>
        <v>0.0243126562144967</v>
      </c>
      <c r="G141" s="8" t="n">
        <f aca="false">IFERROR('Scenario Minutes'!G140/'Scenario Minutes'!$H140,0)</f>
        <v>0</v>
      </c>
    </row>
    <row r="142" customFormat="false" ht="15" hidden="false" customHeight="false" outlineLevel="0" collapsed="false">
      <c r="A142" s="7" t="s">
        <v>46</v>
      </c>
      <c r="B142" s="7" t="s">
        <v>75</v>
      </c>
      <c r="C142" s="8" t="n">
        <f aca="false">IFERROR('Scenario Minutes'!C141/'Scenario Minutes'!$H141,0)</f>
        <v>0.10509972229235</v>
      </c>
      <c r="D142" s="8" t="n">
        <f aca="false">IFERROR('Scenario Minutes'!D141/'Scenario Minutes'!$H141,0)</f>
        <v>0.706664983590003</v>
      </c>
      <c r="E142" s="8" t="n">
        <f aca="false">IFERROR('Scenario Minutes'!E141/'Scenario Minutes'!$H141,0)</f>
        <v>0.117192628124211</v>
      </c>
      <c r="F142" s="8" t="n">
        <f aca="false">IFERROR('Scenario Minutes'!F141/'Scenario Minutes'!$H141,0)</f>
        <v>0.071042665993436</v>
      </c>
      <c r="G142" s="8" t="n">
        <f aca="false">IFERROR('Scenario Minutes'!G141/'Scenario Minutes'!$H141,0)</f>
        <v>0</v>
      </c>
    </row>
    <row r="143" customFormat="false" ht="15" hidden="false" customHeight="false" outlineLevel="0" collapsed="false">
      <c r="A143" s="7" t="s">
        <v>47</v>
      </c>
      <c r="B143" s="7" t="s">
        <v>75</v>
      </c>
      <c r="C143" s="8" t="n">
        <f aca="false">IFERROR('Scenario Minutes'!C142/'Scenario Minutes'!$H142,0)</f>
        <v>0.199419338550871</v>
      </c>
      <c r="D143" s="8" t="n">
        <f aca="false">IFERROR('Scenario Minutes'!D142/'Scenario Minutes'!$H142,0)</f>
        <v>0.66101994445847</v>
      </c>
      <c r="E143" s="8" t="n">
        <f aca="false">IFERROR('Scenario Minutes'!E142/'Scenario Minutes'!$H142,0)</f>
        <v>0.064680636202979</v>
      </c>
      <c r="F143" s="8" t="n">
        <f aca="false">IFERROR('Scenario Minutes'!F142/'Scenario Minutes'!$H142,0)</f>
        <v>0.0748800807876799</v>
      </c>
      <c r="G143" s="8" t="n">
        <f aca="false">IFERROR('Scenario Minutes'!G142/'Scenario Minutes'!$H142,0)</f>
        <v>0</v>
      </c>
    </row>
    <row r="144" customFormat="false" ht="15" hidden="false" customHeight="false" outlineLevel="0" collapsed="false">
      <c r="A144" s="7" t="s">
        <v>48</v>
      </c>
      <c r="B144" s="7" t="s">
        <v>75</v>
      </c>
      <c r="C144" s="8" t="n">
        <f aca="false">IFERROR('Scenario Minutes'!C143/'Scenario Minutes'!$H143,0)</f>
        <v>0.539155712841254</v>
      </c>
      <c r="D144" s="8" t="n">
        <f aca="false">IFERROR('Scenario Minutes'!D143/'Scenario Minutes'!$H143,0)</f>
        <v>0.318907987866532</v>
      </c>
      <c r="E144" s="8" t="n">
        <f aca="false">IFERROR('Scenario Minutes'!E143/'Scenario Minutes'!$H143,0)</f>
        <v>0.0894084934277048</v>
      </c>
      <c r="F144" s="8" t="n">
        <f aca="false">IFERROR('Scenario Minutes'!F143/'Scenario Minutes'!$H143,0)</f>
        <v>0.0525278058645096</v>
      </c>
      <c r="G144" s="8" t="n">
        <f aca="false">IFERROR('Scenario Minutes'!G143/'Scenario Minutes'!$H143,0)</f>
        <v>0</v>
      </c>
    </row>
    <row r="145" customFormat="false" ht="15" hidden="false" customHeight="false" outlineLevel="0" collapsed="false">
      <c r="A145" s="7" t="s">
        <v>43</v>
      </c>
      <c r="B145" s="7" t="s">
        <v>76</v>
      </c>
      <c r="C145" s="8" t="n">
        <f aca="false">IFERROR('Scenario Minutes'!C144/'Scenario Minutes'!$H144,0)</f>
        <v>0.357966496870169</v>
      </c>
      <c r="D145" s="8" t="n">
        <f aca="false">IFERROR('Scenario Minutes'!D144/'Scenario Minutes'!$H144,0)</f>
        <v>0.401758787602321</v>
      </c>
      <c r="E145" s="8" t="n">
        <f aca="false">IFERROR('Scenario Minutes'!E144/'Scenario Minutes'!$H144,0)</f>
        <v>0.168782787196837</v>
      </c>
      <c r="F145" s="8" t="n">
        <f aca="false">IFERROR('Scenario Minutes'!F144/'Scenario Minutes'!$H144,0)</f>
        <v>0.0714919283306724</v>
      </c>
      <c r="G145" s="8" t="n">
        <f aca="false">IFERROR('Scenario Minutes'!G144/'Scenario Minutes'!$H144,0)</f>
        <v>0</v>
      </c>
    </row>
    <row r="146" customFormat="false" ht="15" hidden="false" customHeight="false" outlineLevel="0" collapsed="false">
      <c r="A146" s="7" t="s">
        <v>45</v>
      </c>
      <c r="B146" s="7" t="s">
        <v>76</v>
      </c>
      <c r="C146" s="8" t="n">
        <f aca="false">IFERROR('Scenario Minutes'!C145/'Scenario Minutes'!$H145,0)</f>
        <v>0.172704551765924</v>
      </c>
      <c r="D146" s="8" t="n">
        <f aca="false">IFERROR('Scenario Minutes'!D145/'Scenario Minutes'!$H145,0)</f>
        <v>0.6238166165964</v>
      </c>
      <c r="E146" s="8" t="n">
        <f aca="false">IFERROR('Scenario Minutes'!E145/'Scenario Minutes'!$H145,0)</f>
        <v>0.0765191487213148</v>
      </c>
      <c r="F146" s="8" t="n">
        <f aca="false">IFERROR('Scenario Minutes'!F145/'Scenario Minutes'!$H145,0)</f>
        <v>0.126959682916362</v>
      </c>
      <c r="G146" s="8" t="n">
        <f aca="false">IFERROR('Scenario Minutes'!G145/'Scenario Minutes'!$H145,0)</f>
        <v>0</v>
      </c>
    </row>
    <row r="147" customFormat="false" ht="15" hidden="false" customHeight="false" outlineLevel="0" collapsed="false">
      <c r="A147" s="7" t="s">
        <v>46</v>
      </c>
      <c r="B147" s="7" t="s">
        <v>76</v>
      </c>
      <c r="C147" s="8" t="n">
        <f aca="false">IFERROR('Scenario Minutes'!C146/'Scenario Minutes'!$H146,0)</f>
        <v>0.355785009214612</v>
      </c>
      <c r="D147" s="8" t="n">
        <f aca="false">IFERROR('Scenario Minutes'!D146/'Scenario Minutes'!$H146,0)</f>
        <v>0.58405493423544</v>
      </c>
      <c r="E147" s="8" t="n">
        <f aca="false">IFERROR('Scenario Minutes'!E146/'Scenario Minutes'!$H146,0)</f>
        <v>0.00181767690792962</v>
      </c>
      <c r="F147" s="8" t="n">
        <f aca="false">IFERROR('Scenario Minutes'!F146/'Scenario Minutes'!$H146,0)</f>
        <v>0.0583423796420186</v>
      </c>
      <c r="G147" s="8" t="n">
        <f aca="false">IFERROR('Scenario Minutes'!G146/'Scenario Minutes'!$H146,0)</f>
        <v>0</v>
      </c>
    </row>
    <row r="148" customFormat="false" ht="15" hidden="false" customHeight="false" outlineLevel="0" collapsed="false">
      <c r="A148" s="7" t="s">
        <v>47</v>
      </c>
      <c r="B148" s="7" t="s">
        <v>76</v>
      </c>
      <c r="C148" s="8" t="n">
        <f aca="false">IFERROR('Scenario Minutes'!C147/'Scenario Minutes'!$H147,0)</f>
        <v>0.237319801055316</v>
      </c>
      <c r="D148" s="8" t="n">
        <f aca="false">IFERROR('Scenario Minutes'!D147/'Scenario Minutes'!$H147,0)</f>
        <v>0.641217905021586</v>
      </c>
      <c r="E148" s="8" t="n">
        <f aca="false">IFERROR('Scenario Minutes'!E147/'Scenario Minutes'!$H147,0)</f>
        <v>0.00838193339897498</v>
      </c>
      <c r="F148" s="8" t="n">
        <f aca="false">IFERROR('Scenario Minutes'!F147/'Scenario Minutes'!$H147,0)</f>
        <v>0.113080360524123</v>
      </c>
      <c r="G148" s="8" t="n">
        <f aca="false">IFERROR('Scenario Minutes'!G147/'Scenario Minutes'!$H147,0)</f>
        <v>0</v>
      </c>
    </row>
    <row r="149" customFormat="false" ht="15" hidden="false" customHeight="false" outlineLevel="0" collapsed="false">
      <c r="A149" s="7" t="s">
        <v>48</v>
      </c>
      <c r="B149" s="7" t="s">
        <v>76</v>
      </c>
      <c r="C149" s="8" t="n">
        <f aca="false">IFERROR('Scenario Minutes'!C148/'Scenario Minutes'!$H148,0)</f>
        <v>0.0353756933938477</v>
      </c>
      <c r="D149" s="8" t="n">
        <f aca="false">IFERROR('Scenario Minutes'!D148/'Scenario Minutes'!$H148,0)</f>
        <v>0.787266767523954</v>
      </c>
      <c r="E149" s="8" t="n">
        <f aca="false">IFERROR('Scenario Minutes'!E148/'Scenario Minutes'!$H148,0)</f>
        <v>0</v>
      </c>
      <c r="F149" s="8" t="n">
        <f aca="false">IFERROR('Scenario Minutes'!F148/'Scenario Minutes'!$H148,0)</f>
        <v>0.177357539082199</v>
      </c>
      <c r="G149" s="8" t="n">
        <f aca="false">IFERROR('Scenario Minutes'!G148/'Scenario Minutes'!$H148,0)</f>
        <v>0</v>
      </c>
    </row>
    <row r="150" customFormat="false" ht="15" hidden="false" customHeight="false" outlineLevel="0" collapsed="false">
      <c r="A150" s="7" t="s">
        <v>43</v>
      </c>
      <c r="B150" s="7" t="s">
        <v>77</v>
      </c>
      <c r="C150" s="8" t="n">
        <f aca="false">IFERROR('Scenario Minutes'!C149/'Scenario Minutes'!$H149,0)</f>
        <v>0.554261220373172</v>
      </c>
      <c r="D150" s="8" t="n">
        <f aca="false">IFERROR('Scenario Minutes'!D149/'Scenario Minutes'!$H149,0)</f>
        <v>0.293645990922844</v>
      </c>
      <c r="E150" s="8" t="n">
        <f aca="false">IFERROR('Scenario Minutes'!E149/'Scenario Minutes'!$H149,0)</f>
        <v>0.0804084720121029</v>
      </c>
      <c r="F150" s="8" t="n">
        <f aca="false">IFERROR('Scenario Minutes'!F149/'Scenario Minutes'!$H149,0)</f>
        <v>0.071684316691881</v>
      </c>
      <c r="G150" s="8" t="n">
        <f aca="false">IFERROR('Scenario Minutes'!G149/'Scenario Minutes'!$H149,0)</f>
        <v>0</v>
      </c>
    </row>
    <row r="151" customFormat="false" ht="15" hidden="false" customHeight="false" outlineLevel="0" collapsed="false">
      <c r="A151" s="7" t="s">
        <v>45</v>
      </c>
      <c r="B151" s="7" t="s">
        <v>77</v>
      </c>
      <c r="C151" s="8" t="n">
        <f aca="false">IFERROR('Scenario Minutes'!C150/'Scenario Minutes'!$H150,0)</f>
        <v>0.213059984813971</v>
      </c>
      <c r="D151" s="8" t="n">
        <f aca="false">IFERROR('Scenario Minutes'!D150/'Scenario Minutes'!$H150,0)</f>
        <v>0.656719817767654</v>
      </c>
      <c r="E151" s="8" t="n">
        <f aca="false">IFERROR('Scenario Minutes'!E150/'Scenario Minutes'!$H150,0)</f>
        <v>0.0887876486965325</v>
      </c>
      <c r="F151" s="8" t="n">
        <f aca="false">IFERROR('Scenario Minutes'!F150/'Scenario Minutes'!$H150,0)</f>
        <v>0.0414325487218426</v>
      </c>
      <c r="G151" s="8" t="n">
        <f aca="false">IFERROR('Scenario Minutes'!G150/'Scenario Minutes'!$H150,0)</f>
        <v>0</v>
      </c>
    </row>
    <row r="152" customFormat="false" ht="15" hidden="false" customHeight="false" outlineLevel="0" collapsed="false">
      <c r="A152" s="7" t="s">
        <v>46</v>
      </c>
      <c r="B152" s="7" t="s">
        <v>77</v>
      </c>
      <c r="C152" s="8" t="n">
        <f aca="false">IFERROR('Scenario Minutes'!C151/'Scenario Minutes'!$H151,0)</f>
        <v>0.206639635073492</v>
      </c>
      <c r="D152" s="8" t="n">
        <f aca="false">IFERROR('Scenario Minutes'!D151/'Scenario Minutes'!$H151,0)</f>
        <v>0.549847947288393</v>
      </c>
      <c r="E152" s="8" t="n">
        <f aca="false">IFERROR('Scenario Minutes'!E151/'Scenario Minutes'!$H151,0)</f>
        <v>0.163608717688799</v>
      </c>
      <c r="F152" s="8" t="n">
        <f aca="false">IFERROR('Scenario Minutes'!F151/'Scenario Minutes'!$H151,0)</f>
        <v>0.0799036999493158</v>
      </c>
      <c r="G152" s="8" t="n">
        <f aca="false">IFERROR('Scenario Minutes'!G151/'Scenario Minutes'!$H151,0)</f>
        <v>0</v>
      </c>
    </row>
    <row r="153" customFormat="false" ht="15" hidden="false" customHeight="false" outlineLevel="0" collapsed="false">
      <c r="A153" s="7" t="s">
        <v>47</v>
      </c>
      <c r="B153" s="7" t="s">
        <v>77</v>
      </c>
      <c r="C153" s="8" t="n">
        <f aca="false">IFERROR('Scenario Minutes'!C152/'Scenario Minutes'!$H152,0)</f>
        <v>0.266168271667511</v>
      </c>
      <c r="D153" s="8" t="n">
        <f aca="false">IFERROR('Scenario Minutes'!D152/'Scenario Minutes'!$H152,0)</f>
        <v>0.59067410035479</v>
      </c>
      <c r="E153" s="8" t="n">
        <f aca="false">IFERROR('Scenario Minutes'!E152/'Scenario Minutes'!$H152,0)</f>
        <v>0.052635580334516</v>
      </c>
      <c r="F153" s="8" t="n">
        <f aca="false">IFERROR('Scenario Minutes'!F152/'Scenario Minutes'!$H152,0)</f>
        <v>0.090522047643183</v>
      </c>
      <c r="G153" s="8" t="n">
        <f aca="false">IFERROR('Scenario Minutes'!G152/'Scenario Minutes'!$H152,0)</f>
        <v>0</v>
      </c>
    </row>
    <row r="154" customFormat="false" ht="15" hidden="false" customHeight="false" outlineLevel="0" collapsed="false">
      <c r="A154" s="7" t="s">
        <v>48</v>
      </c>
      <c r="B154" s="7" t="s">
        <v>77</v>
      </c>
      <c r="C154" s="8" t="n">
        <f aca="false">IFERROR('Scenario Minutes'!C153/'Scenario Minutes'!$H153,0)</f>
        <v>0.179751961528727</v>
      </c>
      <c r="D154" s="8" t="n">
        <f aca="false">IFERROR('Scenario Minutes'!D153/'Scenario Minutes'!$H153,0)</f>
        <v>0.5222728423184</v>
      </c>
      <c r="E154" s="8" t="n">
        <f aca="false">IFERROR('Scenario Minutes'!E153/'Scenario Minutes'!$H153,0)</f>
        <v>0.148848392811946</v>
      </c>
      <c r="F154" s="8" t="n">
        <f aca="false">IFERROR('Scenario Minutes'!F153/'Scenario Minutes'!$H153,0)</f>
        <v>0.149126803340926</v>
      </c>
      <c r="G154" s="8" t="n">
        <f aca="false">IFERROR('Scenario Minutes'!G153/'Scenario Minutes'!$H153,0)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78</v>
      </c>
    </row>
    <row r="3" customFormat="false" ht="23.85" hidden="false" customHeight="false" outlineLevel="0" collapsed="false">
      <c r="A3" s="6" t="s">
        <v>37</v>
      </c>
      <c r="B3" s="6" t="s">
        <v>38</v>
      </c>
      <c r="C3" s="6" t="s">
        <v>39</v>
      </c>
      <c r="D3" s="6" t="s">
        <v>40</v>
      </c>
      <c r="E3" s="6" t="s">
        <v>41</v>
      </c>
      <c r="F3" s="6" t="s">
        <v>42</v>
      </c>
    </row>
    <row r="4" customFormat="false" ht="15" hidden="false" customHeight="false" outlineLevel="0" collapsed="false">
      <c r="A4" s="7" t="s">
        <v>44</v>
      </c>
      <c r="B4" s="8" t="n">
        <f aca="false">IFERROR(SUMIF('Scenario Minutes'!$B$4:$B$153,$A4,'Scenario Minutes'!$C$4:$C$153)/SUMIF('Scenario Minutes'!$B$4:$B$153,$A4,'Scenario Minutes'!$H$4:$H$153),0)</f>
        <v>0.290488029186753</v>
      </c>
      <c r="C4" s="8" t="n">
        <f aca="false">IFERROR(SUMIF('Scenario Minutes'!$B$4:$B$153,$A4,'Scenario Minutes'!$D$4:$D$153)/SUMIF('Scenario Minutes'!$B$4:$B$153,$A4,'Scenario Minutes'!$H$4:$H$153),0)</f>
        <v>0.522092188905396</v>
      </c>
      <c r="D4" s="8" t="n">
        <f aca="false">IFERROR(SUMIF('Scenario Minutes'!$B$4:$B$153,$A4,'Scenario Minutes'!$E$4:$E$153)/SUMIF('Scenario Minutes'!$B$4:$B$153,$A4,'Scenario Minutes'!$H$4:$H$153),0)</f>
        <v>0.136348017665666</v>
      </c>
      <c r="E4" s="8" t="n">
        <f aca="false">IFERROR(SUMIF('Scenario Minutes'!$B$4:$B$153,$A4,'Scenario Minutes'!$F$4:$F$153)/SUMIF('Scenario Minutes'!$B$4:$B$153,$A4,'Scenario Minutes'!$H$4:$H$153),0)</f>
        <v>0.0510717642421854</v>
      </c>
      <c r="F4" s="8" t="n">
        <f aca="false">IFERROR(SUMIF('Scenario Minutes'!$B$4:$B$153,$A4,'Scenario Minutes'!$G$4:$G$153)/SUMIF('Scenario Minutes'!$B$4:$B$153,$A4,'Scenario Minutes'!$H$4:$H$153),0)</f>
        <v>0</v>
      </c>
    </row>
    <row r="5" customFormat="false" ht="15" hidden="false" customHeight="false" outlineLevel="0" collapsed="false">
      <c r="A5" s="7" t="s">
        <v>49</v>
      </c>
      <c r="B5" s="8" t="n">
        <f aca="false">IFERROR(SUMIF('Scenario Minutes'!$B$4:$B$153,$A5,'Scenario Minutes'!$C$4:$C$153)/SUMIF('Scenario Minutes'!$B$4:$B$153,$A5,'Scenario Minutes'!$H$4:$H$153),0)</f>
        <v>0.191262332405768</v>
      </c>
      <c r="C5" s="8" t="n">
        <f aca="false">IFERROR(SUMIF('Scenario Minutes'!$B$4:$B$153,$A5,'Scenario Minutes'!$D$4:$D$153)/SUMIF('Scenario Minutes'!$B$4:$B$153,$A5,'Scenario Minutes'!$H$4:$H$153),0)</f>
        <v>0.540703263344296</v>
      </c>
      <c r="D5" s="8" t="n">
        <f aca="false">IFERROR(SUMIF('Scenario Minutes'!$B$4:$B$153,$A5,'Scenario Minutes'!$E$4:$E$153)/SUMIF('Scenario Minutes'!$B$4:$B$153,$A5,'Scenario Minutes'!$H$4:$H$153),0)</f>
        <v>0.109228434100683</v>
      </c>
      <c r="E5" s="8" t="n">
        <f aca="false">IFERROR(SUMIF('Scenario Minutes'!$B$4:$B$153,$A5,'Scenario Minutes'!$F$4:$F$153)/SUMIF('Scenario Minutes'!$B$4:$B$153,$A5,'Scenario Minutes'!$H$4:$H$153),0)</f>
        <v>0.0926182646091576</v>
      </c>
      <c r="F5" s="8" t="n">
        <f aca="false">IFERROR(SUMIF('Scenario Minutes'!$B$4:$B$153,$A5,'Scenario Minutes'!$G$4:$G$153)/SUMIF('Scenario Minutes'!$B$4:$B$153,$A5,'Scenario Minutes'!$H$4:$H$153),0)</f>
        <v>0.0661877055400961</v>
      </c>
    </row>
    <row r="6" customFormat="false" ht="15" hidden="false" customHeight="false" outlineLevel="0" collapsed="false">
      <c r="A6" s="7" t="s">
        <v>50</v>
      </c>
      <c r="B6" s="8" t="n">
        <f aca="false">IFERROR(SUMIF('Scenario Minutes'!$B$4:$B$153,$A6,'Scenario Minutes'!$C$4:$C$153)/SUMIF('Scenario Minutes'!$B$4:$B$153,$A6,'Scenario Minutes'!$H$4:$H$153),0)</f>
        <v>0.356617258208301</v>
      </c>
      <c r="C6" s="8" t="n">
        <f aca="false">IFERROR(SUMIF('Scenario Minutes'!$B$4:$B$153,$A6,'Scenario Minutes'!$D$4:$D$153)/SUMIF('Scenario Minutes'!$B$4:$B$153,$A6,'Scenario Minutes'!$H$4:$H$153),0)</f>
        <v>0.454618255443241</v>
      </c>
      <c r="D6" s="8" t="n">
        <f aca="false">IFERROR(SUMIF('Scenario Minutes'!$B$4:$B$153,$A6,'Scenario Minutes'!$E$4:$E$153)/SUMIF('Scenario Minutes'!$B$4:$B$153,$A6,'Scenario Minutes'!$H$4:$H$153),0)</f>
        <v>0.127323733687906</v>
      </c>
      <c r="E6" s="8" t="n">
        <f aca="false">IFERROR(SUMIF('Scenario Minutes'!$B$4:$B$153,$A6,'Scenario Minutes'!$F$4:$F$153)/SUMIF('Scenario Minutes'!$B$4:$B$153,$A6,'Scenario Minutes'!$H$4:$H$153),0)</f>
        <v>0.0614407526605523</v>
      </c>
      <c r="F6" s="8" t="n">
        <f aca="false">IFERROR(SUMIF('Scenario Minutes'!$B$4:$B$153,$A6,'Scenario Minutes'!$G$4:$G$153)/SUMIF('Scenario Minutes'!$B$4:$B$153,$A6,'Scenario Minutes'!$H$4:$H$153),0)</f>
        <v>0</v>
      </c>
    </row>
    <row r="7" customFormat="false" ht="15" hidden="false" customHeight="false" outlineLevel="0" collapsed="false">
      <c r="A7" s="7" t="s">
        <v>51</v>
      </c>
      <c r="B7" s="8" t="n">
        <f aca="false">IFERROR(SUMIF('Scenario Minutes'!$B$4:$B$153,$A7,'Scenario Minutes'!$C$4:$C$153)/SUMIF('Scenario Minutes'!$B$4:$B$153,$A7,'Scenario Minutes'!$H$4:$H$153),0)</f>
        <v>0.277651731438764</v>
      </c>
      <c r="C7" s="8" t="n">
        <f aca="false">IFERROR(SUMIF('Scenario Minutes'!$B$4:$B$153,$A7,'Scenario Minutes'!$D$4:$D$153)/SUMIF('Scenario Minutes'!$B$4:$B$153,$A7,'Scenario Minutes'!$H$4:$H$153),0)</f>
        <v>0.569057953804719</v>
      </c>
      <c r="D7" s="8" t="n">
        <f aca="false">IFERROR(SUMIF('Scenario Minutes'!$B$4:$B$153,$A7,'Scenario Minutes'!$E$4:$E$153)/SUMIF('Scenario Minutes'!$B$4:$B$153,$A7,'Scenario Minutes'!$H$4:$H$153),0)</f>
        <v>0.065028120404853</v>
      </c>
      <c r="E7" s="8" t="n">
        <f aca="false">IFERROR(SUMIF('Scenario Minutes'!$B$4:$B$153,$A7,'Scenario Minutes'!$F$4:$F$153)/SUMIF('Scenario Minutes'!$B$4:$B$153,$A7,'Scenario Minutes'!$H$4:$H$153),0)</f>
        <v>0.0882621943516642</v>
      </c>
      <c r="F7" s="8" t="n">
        <f aca="false">IFERROR(SUMIF('Scenario Minutes'!$B$4:$B$153,$A7,'Scenario Minutes'!$G$4:$G$153)/SUMIF('Scenario Minutes'!$B$4:$B$153,$A7,'Scenario Minutes'!$H$4:$H$153),0)</f>
        <v>0</v>
      </c>
    </row>
    <row r="8" customFormat="false" ht="15" hidden="false" customHeight="false" outlineLevel="0" collapsed="false">
      <c r="A8" s="7" t="s">
        <v>52</v>
      </c>
      <c r="B8" s="8" t="n">
        <f aca="false">IFERROR(SUMIF('Scenario Minutes'!$B$4:$B$153,$A8,'Scenario Minutes'!$C$4:$C$153)/SUMIF('Scenario Minutes'!$B$4:$B$153,$A8,'Scenario Minutes'!$H$4:$H$153),0)</f>
        <v>0.416068519200408</v>
      </c>
      <c r="C8" s="8" t="n">
        <f aca="false">IFERROR(SUMIF('Scenario Minutes'!$B$4:$B$153,$A8,'Scenario Minutes'!$D$4:$D$153)/SUMIF('Scenario Minutes'!$B$4:$B$153,$A8,'Scenario Minutes'!$H$4:$H$153),0)</f>
        <v>0.45696616914921</v>
      </c>
      <c r="D8" s="8" t="n">
        <f aca="false">IFERROR(SUMIF('Scenario Minutes'!$B$4:$B$153,$A8,'Scenario Minutes'!$E$4:$E$153)/SUMIF('Scenario Minutes'!$B$4:$B$153,$A8,'Scenario Minutes'!$H$4:$H$153),0)</f>
        <v>0.0883980408673853</v>
      </c>
      <c r="E8" s="8" t="n">
        <f aca="false">IFERROR(SUMIF('Scenario Minutes'!$B$4:$B$153,$A8,'Scenario Minutes'!$F$4:$F$153)/SUMIF('Scenario Minutes'!$B$4:$B$153,$A8,'Scenario Minutes'!$H$4:$H$153),0)</f>
        <v>0.0385672707829973</v>
      </c>
      <c r="F8" s="8" t="n">
        <f aca="false">IFERROR(SUMIF('Scenario Minutes'!$B$4:$B$153,$A8,'Scenario Minutes'!$G$4:$G$153)/SUMIF('Scenario Minutes'!$B$4:$B$153,$A8,'Scenario Minutes'!$H$4:$H$153),0)</f>
        <v>0</v>
      </c>
    </row>
    <row r="9" customFormat="false" ht="15" hidden="false" customHeight="false" outlineLevel="0" collapsed="false">
      <c r="A9" s="7" t="s">
        <v>53</v>
      </c>
      <c r="B9" s="8" t="n">
        <f aca="false">IFERROR(SUMIF('Scenario Minutes'!$B$4:$B$153,$A9,'Scenario Minutes'!$C$4:$C$153)/SUMIF('Scenario Minutes'!$B$4:$B$153,$A9,'Scenario Minutes'!$H$4:$H$153),0)</f>
        <v>0.304090493254957</v>
      </c>
      <c r="C9" s="8" t="n">
        <f aca="false">IFERROR(SUMIF('Scenario Minutes'!$B$4:$B$153,$A9,'Scenario Minutes'!$D$4:$D$153)/SUMIF('Scenario Minutes'!$B$4:$B$153,$A9,'Scenario Minutes'!$H$4:$H$153),0)</f>
        <v>0.521200511501195</v>
      </c>
      <c r="D9" s="8" t="n">
        <f aca="false">IFERROR(SUMIF('Scenario Minutes'!$B$4:$B$153,$A9,'Scenario Minutes'!$E$4:$E$153)/SUMIF('Scenario Minutes'!$B$4:$B$153,$A9,'Scenario Minutes'!$H$4:$H$153),0)</f>
        <v>0.123366810042002</v>
      </c>
      <c r="E9" s="8" t="n">
        <f aca="false">IFERROR(SUMIF('Scenario Minutes'!$B$4:$B$153,$A9,'Scenario Minutes'!$F$4:$F$153)/SUMIF('Scenario Minutes'!$B$4:$B$153,$A9,'Scenario Minutes'!$H$4:$H$153),0)</f>
        <v>0.0513421852018458</v>
      </c>
      <c r="F9" s="8" t="n">
        <f aca="false">IFERROR(SUMIF('Scenario Minutes'!$B$4:$B$153,$A9,'Scenario Minutes'!$G$4:$G$153)/SUMIF('Scenario Minutes'!$B$4:$B$153,$A9,'Scenario Minutes'!$H$4:$H$153),0)</f>
        <v>0</v>
      </c>
    </row>
    <row r="10" customFormat="false" ht="15" hidden="false" customHeight="false" outlineLevel="0" collapsed="false">
      <c r="A10" s="7" t="s">
        <v>54</v>
      </c>
      <c r="B10" s="8" t="n">
        <f aca="false">IFERROR(SUMIF('Scenario Minutes'!$B$4:$B$153,$A10,'Scenario Minutes'!$C$4:$C$153)/SUMIF('Scenario Minutes'!$B$4:$B$153,$A10,'Scenario Minutes'!$H$4:$H$153),0)</f>
        <v>0.351908543485289</v>
      </c>
      <c r="C10" s="8" t="n">
        <f aca="false">IFERROR(SUMIF('Scenario Minutes'!$B$4:$B$153,$A10,'Scenario Minutes'!$D$4:$D$153)/SUMIF('Scenario Minutes'!$B$4:$B$153,$A10,'Scenario Minutes'!$H$4:$H$153),0)</f>
        <v>0.521000040413838</v>
      </c>
      <c r="D10" s="8" t="n">
        <f aca="false">IFERROR(SUMIF('Scenario Minutes'!$B$4:$B$153,$A10,'Scenario Minutes'!$E$4:$E$153)/SUMIF('Scenario Minutes'!$B$4:$B$153,$A10,'Scenario Minutes'!$H$4:$H$153),0)</f>
        <v>0.0520075573876495</v>
      </c>
      <c r="E10" s="8" t="n">
        <f aca="false">IFERROR(SUMIF('Scenario Minutes'!$B$4:$B$153,$A10,'Scenario Minutes'!$F$4:$F$153)/SUMIF('Scenario Minutes'!$B$4:$B$153,$A10,'Scenario Minutes'!$H$4:$H$153),0)</f>
        <v>0.0750838587132234</v>
      </c>
      <c r="F10" s="8" t="n">
        <f aca="false">IFERROR(SUMIF('Scenario Minutes'!$B$4:$B$153,$A10,'Scenario Minutes'!$G$4:$G$153)/SUMIF('Scenario Minutes'!$B$4:$B$153,$A10,'Scenario Minutes'!$H$4:$H$153),0)</f>
        <v>0</v>
      </c>
    </row>
    <row r="11" customFormat="false" ht="15" hidden="false" customHeight="false" outlineLevel="0" collapsed="false">
      <c r="A11" s="7" t="s">
        <v>55</v>
      </c>
      <c r="B11" s="8" t="n">
        <f aca="false">IFERROR(SUMIF('Scenario Minutes'!$B$4:$B$153,$A11,'Scenario Minutes'!$C$4:$C$153)/SUMIF('Scenario Minutes'!$B$4:$B$153,$A11,'Scenario Minutes'!$H$4:$H$153),0)</f>
        <v>0.20193234764085</v>
      </c>
      <c r="C11" s="8" t="n">
        <f aca="false">IFERROR(SUMIF('Scenario Minutes'!$B$4:$B$153,$A11,'Scenario Minutes'!$D$4:$D$153)/SUMIF('Scenario Minutes'!$B$4:$B$153,$A11,'Scenario Minutes'!$H$4:$H$153),0)</f>
        <v>0.523076612435071</v>
      </c>
      <c r="D11" s="8" t="n">
        <f aca="false">IFERROR(SUMIF('Scenario Minutes'!$B$4:$B$153,$A11,'Scenario Minutes'!$E$4:$E$153)/SUMIF('Scenario Minutes'!$B$4:$B$153,$A11,'Scenario Minutes'!$H$4:$H$153),0)</f>
        <v>0.173462021897921</v>
      </c>
      <c r="E11" s="8" t="n">
        <f aca="false">IFERROR(SUMIF('Scenario Minutes'!$B$4:$B$153,$A11,'Scenario Minutes'!$F$4:$F$153)/SUMIF('Scenario Minutes'!$B$4:$B$153,$A11,'Scenario Minutes'!$H$4:$H$153),0)</f>
        <v>0.101529018026158</v>
      </c>
      <c r="F11" s="8" t="n">
        <f aca="false">IFERROR(SUMIF('Scenario Minutes'!$B$4:$B$153,$A11,'Scenario Minutes'!$G$4:$G$153)/SUMIF('Scenario Minutes'!$B$4:$B$153,$A11,'Scenario Minutes'!$H$4:$H$153),0)</f>
        <v>0</v>
      </c>
    </row>
    <row r="12" customFormat="false" ht="15" hidden="false" customHeight="false" outlineLevel="0" collapsed="false">
      <c r="A12" s="7" t="s">
        <v>56</v>
      </c>
      <c r="B12" s="8" t="n">
        <f aca="false">IFERROR(SUMIF('Scenario Minutes'!$B$4:$B$153,$A12,'Scenario Minutes'!$C$4:$C$153)/SUMIF('Scenario Minutes'!$B$4:$B$153,$A12,'Scenario Minutes'!$H$4:$H$153),0)</f>
        <v>0.297580127638287</v>
      </c>
      <c r="C12" s="8" t="n">
        <f aca="false">IFERROR(SUMIF('Scenario Minutes'!$B$4:$B$153,$A12,'Scenario Minutes'!$D$4:$D$153)/SUMIF('Scenario Minutes'!$B$4:$B$153,$A12,'Scenario Minutes'!$H$4:$H$153),0)</f>
        <v>0.491872280864868</v>
      </c>
      <c r="D12" s="8" t="n">
        <f aca="false">IFERROR(SUMIF('Scenario Minutes'!$B$4:$B$153,$A12,'Scenario Minutes'!$E$4:$E$153)/SUMIF('Scenario Minutes'!$B$4:$B$153,$A12,'Scenario Minutes'!$H$4:$H$153),0)</f>
        <v>0.124945048837057</v>
      </c>
      <c r="E12" s="8" t="n">
        <f aca="false">IFERROR(SUMIF('Scenario Minutes'!$B$4:$B$153,$A12,'Scenario Minutes'!$F$4:$F$153)/SUMIF('Scenario Minutes'!$B$4:$B$153,$A12,'Scenario Minutes'!$H$4:$H$153),0)</f>
        <v>0.0856025426597879</v>
      </c>
      <c r="F12" s="8" t="n">
        <f aca="false">IFERROR(SUMIF('Scenario Minutes'!$B$4:$B$153,$A12,'Scenario Minutes'!$G$4:$G$153)/SUMIF('Scenario Minutes'!$B$4:$B$153,$A12,'Scenario Minutes'!$H$4:$H$153),0)</f>
        <v>0</v>
      </c>
    </row>
    <row r="13" customFormat="false" ht="15" hidden="false" customHeight="false" outlineLevel="0" collapsed="false">
      <c r="A13" s="7" t="s">
        <v>57</v>
      </c>
      <c r="B13" s="8" t="n">
        <f aca="false">IFERROR(SUMIF('Scenario Minutes'!$B$4:$B$153,$A13,'Scenario Minutes'!$C$4:$C$153)/SUMIF('Scenario Minutes'!$B$4:$B$153,$A13,'Scenario Minutes'!$H$4:$H$153),0)</f>
        <v>0.358316906747536</v>
      </c>
      <c r="C13" s="8" t="n">
        <f aca="false">IFERROR(SUMIF('Scenario Minutes'!$B$4:$B$153,$A13,'Scenario Minutes'!$D$4:$D$153)/SUMIF('Scenario Minutes'!$B$4:$B$153,$A13,'Scenario Minutes'!$H$4:$H$153),0)</f>
        <v>0.491776598433156</v>
      </c>
      <c r="D13" s="8" t="n">
        <f aca="false">IFERROR(SUMIF('Scenario Minutes'!$B$4:$B$153,$A13,'Scenario Minutes'!$E$4:$E$153)/SUMIF('Scenario Minutes'!$B$4:$B$153,$A13,'Scenario Minutes'!$H$4:$H$153),0)</f>
        <v>0.0473591104371999</v>
      </c>
      <c r="E13" s="8" t="n">
        <f aca="false">IFERROR(SUMIF('Scenario Minutes'!$B$4:$B$153,$A13,'Scenario Minutes'!$F$4:$F$153)/SUMIF('Scenario Minutes'!$B$4:$B$153,$A13,'Scenario Minutes'!$H$4:$H$153),0)</f>
        <v>0.102547384382108</v>
      </c>
      <c r="F13" s="8" t="n">
        <f aca="false">IFERROR(SUMIF('Scenario Minutes'!$B$4:$B$153,$A13,'Scenario Minutes'!$G$4:$G$153)/SUMIF('Scenario Minutes'!$B$4:$B$153,$A13,'Scenario Minutes'!$H$4:$H$153),0)</f>
        <v>0</v>
      </c>
    </row>
    <row r="14" customFormat="false" ht="15" hidden="false" customHeight="false" outlineLevel="0" collapsed="false">
      <c r="A14" s="7" t="s">
        <v>58</v>
      </c>
      <c r="B14" s="8" t="n">
        <f aca="false">IFERROR(SUMIF('Scenario Minutes'!$B$4:$B$153,$A14,'Scenario Minutes'!$C$4:$C$153)/SUMIF('Scenario Minutes'!$B$4:$B$153,$A14,'Scenario Minutes'!$H$4:$H$153),0)</f>
        <v>0.235209490156487</v>
      </c>
      <c r="C14" s="8" t="n">
        <f aca="false">IFERROR(SUMIF('Scenario Minutes'!$B$4:$B$153,$A14,'Scenario Minutes'!$D$4:$D$153)/SUMIF('Scenario Minutes'!$B$4:$B$153,$A14,'Scenario Minutes'!$H$4:$H$153),0)</f>
        <v>0.533674911660777</v>
      </c>
      <c r="D14" s="8" t="n">
        <f aca="false">IFERROR(SUMIF('Scenario Minutes'!$B$4:$B$153,$A14,'Scenario Minutes'!$E$4:$E$153)/SUMIF('Scenario Minutes'!$B$4:$B$153,$A14,'Scenario Minutes'!$H$4:$H$153),0)</f>
        <v>0.163225643614336</v>
      </c>
      <c r="E14" s="8" t="n">
        <f aca="false">IFERROR(SUMIF('Scenario Minutes'!$B$4:$B$153,$A14,'Scenario Minutes'!$F$4:$F$153)/SUMIF('Scenario Minutes'!$B$4:$B$153,$A14,'Scenario Minutes'!$H$4:$H$153),0)</f>
        <v>0.0613579000504796</v>
      </c>
      <c r="F14" s="8" t="n">
        <f aca="false">IFERROR(SUMIF('Scenario Minutes'!$B$4:$B$153,$A14,'Scenario Minutes'!$G$4:$G$153)/SUMIF('Scenario Minutes'!$B$4:$B$153,$A14,'Scenario Minutes'!$H$4:$H$153),0)</f>
        <v>0.00653205451792024</v>
      </c>
    </row>
    <row r="15" customFormat="false" ht="15" hidden="false" customHeight="false" outlineLevel="0" collapsed="false">
      <c r="A15" s="7" t="s">
        <v>59</v>
      </c>
      <c r="B15" s="8" t="n">
        <f aca="false">IFERROR(SUMIF('Scenario Minutes'!$B$4:$B$153,$A15,'Scenario Minutes'!$C$4:$C$153)/SUMIF('Scenario Minutes'!$B$4:$B$153,$A15,'Scenario Minutes'!$H$4:$H$153),0)</f>
        <v>0.305138959070237</v>
      </c>
      <c r="C15" s="8" t="n">
        <f aca="false">IFERROR(SUMIF('Scenario Minutes'!$B$4:$B$153,$A15,'Scenario Minutes'!$D$4:$D$153)/SUMIF('Scenario Minutes'!$B$4:$B$153,$A15,'Scenario Minutes'!$H$4:$H$153),0)</f>
        <v>0.497074279939363</v>
      </c>
      <c r="D15" s="8" t="n">
        <f aca="false">IFERROR(SUMIF('Scenario Minutes'!$B$4:$B$153,$A15,'Scenario Minutes'!$E$4:$E$153)/SUMIF('Scenario Minutes'!$B$4:$B$153,$A15,'Scenario Minutes'!$H$4:$H$153),0)</f>
        <v>0.0918797372410308</v>
      </c>
      <c r="E15" s="8" t="n">
        <f aca="false">IFERROR(SUMIF('Scenario Minutes'!$B$4:$B$153,$A15,'Scenario Minutes'!$F$4:$F$153)/SUMIF('Scenario Minutes'!$B$4:$B$153,$A15,'Scenario Minutes'!$H$4:$H$153),0)</f>
        <v>0.105907023749368</v>
      </c>
      <c r="F15" s="8" t="n">
        <f aca="false">IFERROR(SUMIF('Scenario Minutes'!$B$4:$B$153,$A15,'Scenario Minutes'!$G$4:$G$153)/SUMIF('Scenario Minutes'!$B$4:$B$153,$A15,'Scenario Minutes'!$H$4:$H$153),0)</f>
        <v>0</v>
      </c>
    </row>
    <row r="16" customFormat="false" ht="15" hidden="false" customHeight="false" outlineLevel="0" collapsed="false">
      <c r="A16" s="7" t="s">
        <v>60</v>
      </c>
      <c r="B16" s="8" t="n">
        <f aca="false">IFERROR(SUMIF('Scenario Minutes'!$B$4:$B$153,$A16,'Scenario Minutes'!$C$4:$C$153)/SUMIF('Scenario Minutes'!$B$4:$B$153,$A16,'Scenario Minutes'!$H$4:$H$153),0)</f>
        <v>0.294100101112235</v>
      </c>
      <c r="C16" s="8" t="n">
        <f aca="false">IFERROR(SUMIF('Scenario Minutes'!$B$4:$B$153,$A16,'Scenario Minutes'!$D$4:$D$153)/SUMIF('Scenario Minutes'!$B$4:$B$153,$A16,'Scenario Minutes'!$H$4:$H$153),0)</f>
        <v>0.483377148634985</v>
      </c>
      <c r="D16" s="8" t="n">
        <f aca="false">IFERROR(SUMIF('Scenario Minutes'!$B$4:$B$153,$A16,'Scenario Minutes'!$E$4:$E$153)/SUMIF('Scenario Minutes'!$B$4:$B$153,$A16,'Scenario Minutes'!$H$4:$H$153),0)</f>
        <v>0.117017189079879</v>
      </c>
      <c r="E16" s="8" t="n">
        <f aca="false">IFERROR(SUMIF('Scenario Minutes'!$B$4:$B$153,$A16,'Scenario Minutes'!$F$4:$F$153)/SUMIF('Scenario Minutes'!$B$4:$B$153,$A16,'Scenario Minutes'!$H$4:$H$153),0)</f>
        <v>0.105505561172902</v>
      </c>
      <c r="F16" s="8" t="n">
        <f aca="false">IFERROR(SUMIF('Scenario Minutes'!$B$4:$B$153,$A16,'Scenario Minutes'!$G$4:$G$153)/SUMIF('Scenario Minutes'!$B$4:$B$153,$A16,'Scenario Minutes'!$H$4:$H$153),0)</f>
        <v>0</v>
      </c>
    </row>
    <row r="17" customFormat="false" ht="15" hidden="false" customHeight="false" outlineLevel="0" collapsed="false">
      <c r="A17" s="7" t="s">
        <v>61</v>
      </c>
      <c r="B17" s="8" t="n">
        <f aca="false">IFERROR(SUMIF('Scenario Minutes'!$B$4:$B$153,$A17,'Scenario Minutes'!$C$4:$C$153)/SUMIF('Scenario Minutes'!$B$4:$B$153,$A17,'Scenario Minutes'!$H$4:$H$153),0)</f>
        <v>0.394423938037033</v>
      </c>
      <c r="C17" s="8" t="n">
        <f aca="false">IFERROR(SUMIF('Scenario Minutes'!$B$4:$B$153,$A17,'Scenario Minutes'!$D$4:$D$153)/SUMIF('Scenario Minutes'!$B$4:$B$153,$A17,'Scenario Minutes'!$H$4:$H$153),0)</f>
        <v>0.497327443624188</v>
      </c>
      <c r="D17" s="8" t="n">
        <f aca="false">IFERROR(SUMIF('Scenario Minutes'!$B$4:$B$153,$A17,'Scenario Minutes'!$E$4:$E$153)/SUMIF('Scenario Minutes'!$B$4:$B$153,$A17,'Scenario Minutes'!$H$4:$H$153),0)</f>
        <v>0.0507079753116302</v>
      </c>
      <c r="E17" s="8" t="n">
        <f aca="false">IFERROR(SUMIF('Scenario Minutes'!$B$4:$B$153,$A17,'Scenario Minutes'!$F$4:$F$153)/SUMIF('Scenario Minutes'!$B$4:$B$153,$A17,'Scenario Minutes'!$H$4:$H$153),0)</f>
        <v>0.0575406430271491</v>
      </c>
      <c r="F17" s="8" t="n">
        <f aca="false">IFERROR(SUMIF('Scenario Minutes'!$B$4:$B$153,$A17,'Scenario Minutes'!$G$4:$G$153)/SUMIF('Scenario Minutes'!$B$4:$B$153,$A17,'Scenario Minutes'!$H$4:$H$153),0)</f>
        <v>0</v>
      </c>
    </row>
    <row r="18" customFormat="false" ht="15" hidden="false" customHeight="false" outlineLevel="0" collapsed="false">
      <c r="A18" s="7" t="s">
        <v>62</v>
      </c>
      <c r="B18" s="8" t="n">
        <f aca="false">IFERROR(SUMIF('Scenario Minutes'!$B$4:$B$153,$A18,'Scenario Minutes'!$C$4:$C$153)/SUMIF('Scenario Minutes'!$B$4:$B$153,$A18,'Scenario Minutes'!$H$4:$H$153),0)</f>
        <v>0.400134641958686</v>
      </c>
      <c r="C18" s="8" t="n">
        <f aca="false">IFERROR(SUMIF('Scenario Minutes'!$B$4:$B$153,$A18,'Scenario Minutes'!$D$4:$D$153)/SUMIF('Scenario Minutes'!$B$4:$B$153,$A18,'Scenario Minutes'!$H$4:$H$153),0)</f>
        <v>0.42991784815829</v>
      </c>
      <c r="D18" s="8" t="n">
        <f aca="false">IFERROR(SUMIF('Scenario Minutes'!$B$4:$B$153,$A18,'Scenario Minutes'!$E$4:$E$153)/SUMIF('Scenario Minutes'!$B$4:$B$153,$A18,'Scenario Minutes'!$H$4:$H$153),0)</f>
        <v>0.0261185152940105</v>
      </c>
      <c r="E18" s="8" t="n">
        <f aca="false">IFERROR(SUMIF('Scenario Minutes'!$B$4:$B$153,$A18,'Scenario Minutes'!$F$4:$F$153)/SUMIF('Scenario Minutes'!$B$4:$B$153,$A18,'Scenario Minutes'!$H$4:$H$153),0)</f>
        <v>0.143828994589013</v>
      </c>
      <c r="F18" s="8" t="n">
        <f aca="false">IFERROR(SUMIF('Scenario Minutes'!$B$4:$B$153,$A18,'Scenario Minutes'!$G$4:$G$153)/SUMIF('Scenario Minutes'!$B$4:$B$153,$A18,'Scenario Minutes'!$H$4:$H$153),0)</f>
        <v>0</v>
      </c>
    </row>
    <row r="19" customFormat="false" ht="15" hidden="false" customHeight="false" outlineLevel="0" collapsed="false">
      <c r="A19" s="7" t="s">
        <v>63</v>
      </c>
      <c r="B19" s="8" t="n">
        <f aca="false">IFERROR(SUMIF('Scenario Minutes'!$B$4:$B$153,$A19,'Scenario Minutes'!$C$4:$C$153)/SUMIF('Scenario Minutes'!$B$4:$B$153,$A19,'Scenario Minutes'!$H$4:$H$153),0)</f>
        <v>0.312152004805678</v>
      </c>
      <c r="C19" s="8" t="n">
        <f aca="false">IFERROR(SUMIF('Scenario Minutes'!$B$4:$B$153,$A19,'Scenario Minutes'!$D$4:$D$153)/SUMIF('Scenario Minutes'!$B$4:$B$153,$A19,'Scenario Minutes'!$H$4:$H$153),0)</f>
        <v>0.570447099682482</v>
      </c>
      <c r="D19" s="8" t="n">
        <f aca="false">IFERROR(SUMIF('Scenario Minutes'!$B$4:$B$153,$A19,'Scenario Minutes'!$E$4:$E$153)/SUMIF('Scenario Minutes'!$B$4:$B$153,$A19,'Scenario Minutes'!$H$4:$H$153),0)</f>
        <v>0.0385766712603294</v>
      </c>
      <c r="E19" s="8" t="n">
        <f aca="false">IFERROR(SUMIF('Scenario Minutes'!$B$4:$B$153,$A19,'Scenario Minutes'!$F$4:$F$153)/SUMIF('Scenario Minutes'!$B$4:$B$153,$A19,'Scenario Minutes'!$H$4:$H$153),0)</f>
        <v>0.0788242242515106</v>
      </c>
      <c r="F19" s="8" t="n">
        <f aca="false">IFERROR(SUMIF('Scenario Minutes'!$B$4:$B$153,$A19,'Scenario Minutes'!$G$4:$G$153)/SUMIF('Scenario Minutes'!$B$4:$B$153,$A19,'Scenario Minutes'!$H$4:$H$153),0)</f>
        <v>0</v>
      </c>
    </row>
    <row r="20" customFormat="false" ht="15" hidden="false" customHeight="false" outlineLevel="0" collapsed="false">
      <c r="A20" s="7" t="s">
        <v>64</v>
      </c>
      <c r="B20" s="8" t="n">
        <f aca="false">IFERROR(SUMIF('Scenario Minutes'!$B$4:$B$153,$A20,'Scenario Minutes'!$C$4:$C$153)/SUMIF('Scenario Minutes'!$B$4:$B$153,$A20,'Scenario Minutes'!$H$4:$H$153),0)</f>
        <v>0.256884444466914</v>
      </c>
      <c r="C20" s="8" t="n">
        <f aca="false">IFERROR(SUMIF('Scenario Minutes'!$B$4:$B$153,$A20,'Scenario Minutes'!$D$4:$D$153)/SUMIF('Scenario Minutes'!$B$4:$B$153,$A20,'Scenario Minutes'!$H$4:$H$153),0)</f>
        <v>0.591043523541337</v>
      </c>
      <c r="D20" s="8" t="n">
        <f aca="false">IFERROR(SUMIF('Scenario Minutes'!$B$4:$B$153,$A20,'Scenario Minutes'!$E$4:$E$153)/SUMIF('Scenario Minutes'!$B$4:$B$153,$A20,'Scenario Minutes'!$H$4:$H$153),0)</f>
        <v>0.08545962861664</v>
      </c>
      <c r="E20" s="8" t="n">
        <f aca="false">IFERROR(SUMIF('Scenario Minutes'!$B$4:$B$153,$A20,'Scenario Minutes'!$F$4:$F$153)/SUMIF('Scenario Minutes'!$B$4:$B$153,$A20,'Scenario Minutes'!$H$4:$H$153),0)</f>
        <v>0.0666124033751093</v>
      </c>
      <c r="F20" s="8" t="n">
        <f aca="false">IFERROR(SUMIF('Scenario Minutes'!$B$4:$B$153,$A20,'Scenario Minutes'!$G$4:$G$153)/SUMIF('Scenario Minutes'!$B$4:$B$153,$A20,'Scenario Minutes'!$H$4:$H$153),0)</f>
        <v>0</v>
      </c>
    </row>
    <row r="21" customFormat="false" ht="15" hidden="false" customHeight="false" outlineLevel="0" collapsed="false">
      <c r="A21" s="7" t="s">
        <v>65</v>
      </c>
      <c r="B21" s="8" t="n">
        <f aca="false">IFERROR(SUMIF('Scenario Minutes'!$B$4:$B$153,$A21,'Scenario Minutes'!$C$4:$C$153)/SUMIF('Scenario Minutes'!$B$4:$B$153,$A21,'Scenario Minutes'!$H$4:$H$153),0)</f>
        <v>0.336266921146573</v>
      </c>
      <c r="C21" s="8" t="n">
        <f aca="false">IFERROR(SUMIF('Scenario Minutes'!$B$4:$B$153,$A21,'Scenario Minutes'!$D$4:$D$153)/SUMIF('Scenario Minutes'!$B$4:$B$153,$A21,'Scenario Minutes'!$H$4:$H$153),0)</f>
        <v>0.438422426546698</v>
      </c>
      <c r="D21" s="8" t="n">
        <f aca="false">IFERROR(SUMIF('Scenario Minutes'!$B$4:$B$153,$A21,'Scenario Minutes'!$E$4:$E$153)/SUMIF('Scenario Minutes'!$B$4:$B$153,$A21,'Scenario Minutes'!$H$4:$H$153),0)</f>
        <v>0.175141756416277</v>
      </c>
      <c r="E21" s="8" t="n">
        <f aca="false">IFERROR(SUMIF('Scenario Minutes'!$B$4:$B$153,$A21,'Scenario Minutes'!$F$4:$F$153)/SUMIF('Scenario Minutes'!$B$4:$B$153,$A21,'Scenario Minutes'!$H$4:$H$153),0)</f>
        <v>0.0501688958904525</v>
      </c>
      <c r="F21" s="8" t="n">
        <f aca="false">IFERROR(SUMIF('Scenario Minutes'!$B$4:$B$153,$A21,'Scenario Minutes'!$G$4:$G$153)/SUMIF('Scenario Minutes'!$B$4:$B$153,$A21,'Scenario Minutes'!$H$4:$H$153),0)</f>
        <v>0</v>
      </c>
    </row>
    <row r="22" customFormat="false" ht="15" hidden="false" customHeight="false" outlineLevel="0" collapsed="false">
      <c r="A22" s="7" t="s">
        <v>66</v>
      </c>
      <c r="B22" s="8" t="n">
        <f aca="false">IFERROR(SUMIF('Scenario Minutes'!$B$4:$B$153,$A22,'Scenario Minutes'!$C$4:$C$153)/SUMIF('Scenario Minutes'!$B$4:$B$153,$A22,'Scenario Minutes'!$H$4:$H$153),0)</f>
        <v>0.231122438659304</v>
      </c>
      <c r="C22" s="8" t="n">
        <f aca="false">IFERROR(SUMIF('Scenario Minutes'!$B$4:$B$153,$A22,'Scenario Minutes'!$D$4:$D$153)/SUMIF('Scenario Minutes'!$B$4:$B$153,$A22,'Scenario Minutes'!$H$4:$H$153),0)</f>
        <v>0.586797338026175</v>
      </c>
      <c r="D22" s="8" t="n">
        <f aca="false">IFERROR(SUMIF('Scenario Minutes'!$B$4:$B$153,$A22,'Scenario Minutes'!$E$4:$E$153)/SUMIF('Scenario Minutes'!$B$4:$B$153,$A22,'Scenario Minutes'!$H$4:$H$153),0)</f>
        <v>0.104193215607743</v>
      </c>
      <c r="E22" s="8" t="n">
        <f aca="false">IFERROR(SUMIF('Scenario Minutes'!$B$4:$B$153,$A22,'Scenario Minutes'!$F$4:$F$153)/SUMIF('Scenario Minutes'!$B$4:$B$153,$A22,'Scenario Minutes'!$H$4:$H$153),0)</f>
        <v>0.0778870077067783</v>
      </c>
      <c r="F22" s="8" t="n">
        <f aca="false">IFERROR(SUMIF('Scenario Minutes'!$B$4:$B$153,$A22,'Scenario Minutes'!$G$4:$G$153)/SUMIF('Scenario Minutes'!$B$4:$B$153,$A22,'Scenario Minutes'!$H$4:$H$153),0)</f>
        <v>0</v>
      </c>
    </row>
    <row r="23" customFormat="false" ht="15" hidden="false" customHeight="false" outlineLevel="0" collapsed="false">
      <c r="A23" s="7" t="s">
        <v>67</v>
      </c>
      <c r="B23" s="8" t="n">
        <f aca="false">IFERROR(SUMIF('Scenario Minutes'!$B$4:$B$153,$A23,'Scenario Minutes'!$C$4:$C$153)/SUMIF('Scenario Minutes'!$B$4:$B$153,$A23,'Scenario Minutes'!$H$4:$H$153),0)</f>
        <v>0.307623612512614</v>
      </c>
      <c r="C23" s="8" t="n">
        <f aca="false">IFERROR(SUMIF('Scenario Minutes'!$B$4:$B$153,$A23,'Scenario Minutes'!$D$4:$D$153)/SUMIF('Scenario Minutes'!$B$4:$B$153,$A23,'Scenario Minutes'!$H$4:$H$153),0)</f>
        <v>0.510711402623613</v>
      </c>
      <c r="D23" s="8" t="n">
        <f aca="false">IFERROR(SUMIF('Scenario Minutes'!$B$4:$B$153,$A23,'Scenario Minutes'!$E$4:$E$153)/SUMIF('Scenario Minutes'!$B$4:$B$153,$A23,'Scenario Minutes'!$H$4:$H$153),0)</f>
        <v>0.117356205852674</v>
      </c>
      <c r="E23" s="8" t="n">
        <f aca="false">IFERROR(SUMIF('Scenario Minutes'!$B$4:$B$153,$A23,'Scenario Minutes'!$F$4:$F$153)/SUMIF('Scenario Minutes'!$B$4:$B$153,$A23,'Scenario Minutes'!$H$4:$H$153),0)</f>
        <v>0.0643087790110999</v>
      </c>
      <c r="F23" s="8" t="n">
        <f aca="false">IFERROR(SUMIF('Scenario Minutes'!$B$4:$B$153,$A23,'Scenario Minutes'!$G$4:$G$153)/SUMIF('Scenario Minutes'!$B$4:$B$153,$A23,'Scenario Minutes'!$H$4:$H$153),0)</f>
        <v>0</v>
      </c>
    </row>
    <row r="24" customFormat="false" ht="15" hidden="false" customHeight="false" outlineLevel="0" collapsed="false">
      <c r="A24" s="7" t="s">
        <v>68</v>
      </c>
      <c r="B24" s="8" t="n">
        <f aca="false">IFERROR(SUMIF('Scenario Minutes'!$B$4:$B$153,$A24,'Scenario Minutes'!$C$4:$C$153)/SUMIF('Scenario Minutes'!$B$4:$B$153,$A24,'Scenario Minutes'!$H$4:$H$153),0)</f>
        <v>0.338917753507935</v>
      </c>
      <c r="C24" s="8" t="n">
        <f aca="false">IFERROR(SUMIF('Scenario Minutes'!$B$4:$B$153,$A24,'Scenario Minutes'!$D$4:$D$153)/SUMIF('Scenario Minutes'!$B$4:$B$153,$A24,'Scenario Minutes'!$H$4:$H$153),0)</f>
        <v>0.513393014930498</v>
      </c>
      <c r="D24" s="8" t="n">
        <f aca="false">IFERROR(SUMIF('Scenario Minutes'!$B$4:$B$153,$A24,'Scenario Minutes'!$E$4:$E$153)/SUMIF('Scenario Minutes'!$B$4:$B$153,$A24,'Scenario Minutes'!$H$4:$H$153),0)</f>
        <v>0.0851901782874108</v>
      </c>
      <c r="E24" s="8" t="n">
        <f aca="false">IFERROR(SUMIF('Scenario Minutes'!$B$4:$B$153,$A24,'Scenario Minutes'!$F$4:$F$153)/SUMIF('Scenario Minutes'!$B$4:$B$153,$A24,'Scenario Minutes'!$H$4:$H$153),0)</f>
        <v>0.0624990532741567</v>
      </c>
      <c r="F24" s="8" t="n">
        <f aca="false">IFERROR(SUMIF('Scenario Minutes'!$B$4:$B$153,$A24,'Scenario Minutes'!$G$4:$G$153)/SUMIF('Scenario Minutes'!$B$4:$B$153,$A24,'Scenario Minutes'!$H$4:$H$153),0)</f>
        <v>0</v>
      </c>
    </row>
    <row r="25" customFormat="false" ht="15" hidden="false" customHeight="false" outlineLevel="0" collapsed="false">
      <c r="A25" s="7" t="s">
        <v>69</v>
      </c>
      <c r="B25" s="8" t="n">
        <f aca="false">IFERROR(SUMIF('Scenario Minutes'!$B$4:$B$153,$A25,'Scenario Minutes'!$C$4:$C$153)/SUMIF('Scenario Minutes'!$B$4:$B$153,$A25,'Scenario Minutes'!$H$4:$H$153),0)</f>
        <v>0.280424671385238</v>
      </c>
      <c r="C25" s="8" t="n">
        <f aca="false">IFERROR(SUMIF('Scenario Minutes'!$B$4:$B$153,$A25,'Scenario Minutes'!$D$4:$D$153)/SUMIF('Scenario Minutes'!$B$4:$B$153,$A25,'Scenario Minutes'!$H$4:$H$153),0)</f>
        <v>0.54267947421638</v>
      </c>
      <c r="D25" s="8" t="n">
        <f aca="false">IFERROR(SUMIF('Scenario Minutes'!$B$4:$B$153,$A25,'Scenario Minutes'!$E$4:$E$153)/SUMIF('Scenario Minutes'!$B$4:$B$153,$A25,'Scenario Minutes'!$H$4:$H$153),0)</f>
        <v>0.0870677451971689</v>
      </c>
      <c r="E25" s="8" t="n">
        <f aca="false">IFERROR(SUMIF('Scenario Minutes'!$B$4:$B$153,$A25,'Scenario Minutes'!$F$4:$F$153)/SUMIF('Scenario Minutes'!$B$4:$B$153,$A25,'Scenario Minutes'!$H$4:$H$153),0)</f>
        <v>0.0898281092012133</v>
      </c>
      <c r="F25" s="8" t="n">
        <f aca="false">IFERROR(SUMIF('Scenario Minutes'!$B$4:$B$153,$A25,'Scenario Minutes'!$G$4:$G$153)/SUMIF('Scenario Minutes'!$B$4:$B$153,$A25,'Scenario Minutes'!$H$4:$H$153),0)</f>
        <v>0</v>
      </c>
    </row>
    <row r="26" customFormat="false" ht="15" hidden="false" customHeight="false" outlineLevel="0" collapsed="false">
      <c r="A26" s="7" t="s">
        <v>70</v>
      </c>
      <c r="B26" s="8" t="n">
        <f aca="false">IFERROR(SUMIF('Scenario Minutes'!$B$4:$B$153,$A26,'Scenario Minutes'!$C$4:$C$153)/SUMIF('Scenario Minutes'!$B$4:$B$153,$A26,'Scenario Minutes'!$H$4:$H$153),0)</f>
        <v>0.229666012778554</v>
      </c>
      <c r="C26" s="8" t="n">
        <f aca="false">IFERROR(SUMIF('Scenario Minutes'!$B$4:$B$153,$A26,'Scenario Minutes'!$D$4:$D$153)/SUMIF('Scenario Minutes'!$B$4:$B$153,$A26,'Scenario Minutes'!$H$4:$H$153),0)</f>
        <v>0.571923490047957</v>
      </c>
      <c r="D26" s="8" t="n">
        <f aca="false">IFERROR(SUMIF('Scenario Minutes'!$B$4:$B$153,$A26,'Scenario Minutes'!$E$4:$E$153)/SUMIF('Scenario Minutes'!$B$4:$B$153,$A26,'Scenario Minutes'!$H$4:$H$153),0)</f>
        <v>0.142409771004685</v>
      </c>
      <c r="E26" s="8" t="n">
        <f aca="false">IFERROR(SUMIF('Scenario Minutes'!$B$4:$B$153,$A26,'Scenario Minutes'!$F$4:$F$153)/SUMIF('Scenario Minutes'!$B$4:$B$153,$A26,'Scenario Minutes'!$H$4:$H$153),0)</f>
        <v>0.056000726168804</v>
      </c>
      <c r="F26" s="8" t="n">
        <f aca="false">IFERROR(SUMIF('Scenario Minutes'!$B$4:$B$153,$A26,'Scenario Minutes'!$G$4:$G$153)/SUMIF('Scenario Minutes'!$B$4:$B$153,$A26,'Scenario Minutes'!$H$4:$H$153),0)</f>
        <v>0</v>
      </c>
    </row>
    <row r="27" customFormat="false" ht="15" hidden="false" customHeight="false" outlineLevel="0" collapsed="false">
      <c r="A27" s="7" t="s">
        <v>71</v>
      </c>
      <c r="B27" s="8" t="n">
        <f aca="false">IFERROR(SUMIF('Scenario Minutes'!$B$4:$B$153,$A27,'Scenario Minutes'!$C$4:$C$153)/SUMIF('Scenario Minutes'!$B$4:$B$153,$A27,'Scenario Minutes'!$H$4:$H$153),0)</f>
        <v>0.259337547408344</v>
      </c>
      <c r="C27" s="8" t="n">
        <f aca="false">IFERROR(SUMIF('Scenario Minutes'!$B$4:$B$153,$A27,'Scenario Minutes'!$D$4:$D$153)/SUMIF('Scenario Minutes'!$B$4:$B$153,$A27,'Scenario Minutes'!$H$4:$H$153),0)</f>
        <v>0.571418457648546</v>
      </c>
      <c r="D27" s="8" t="n">
        <f aca="false">IFERROR(SUMIF('Scenario Minutes'!$B$4:$B$153,$A27,'Scenario Minutes'!$E$4:$E$153)/SUMIF('Scenario Minutes'!$B$4:$B$153,$A27,'Scenario Minutes'!$H$4:$H$153),0)</f>
        <v>0.100055625790139</v>
      </c>
      <c r="E27" s="8" t="n">
        <f aca="false">IFERROR(SUMIF('Scenario Minutes'!$B$4:$B$153,$A27,'Scenario Minutes'!$F$4:$F$153)/SUMIF('Scenario Minutes'!$B$4:$B$153,$A27,'Scenario Minutes'!$H$4:$H$153),0)</f>
        <v>0.0691883691529709</v>
      </c>
      <c r="F27" s="8" t="n">
        <f aca="false">IFERROR(SUMIF('Scenario Minutes'!$B$4:$B$153,$A27,'Scenario Minutes'!$G$4:$G$153)/SUMIF('Scenario Minutes'!$B$4:$B$153,$A27,'Scenario Minutes'!$H$4:$H$153),0)</f>
        <v>0</v>
      </c>
    </row>
    <row r="28" customFormat="false" ht="15" hidden="false" customHeight="false" outlineLevel="0" collapsed="false">
      <c r="A28" s="7" t="s">
        <v>72</v>
      </c>
      <c r="B28" s="8" t="n">
        <f aca="false">IFERROR(SUMIF('Scenario Minutes'!$B$4:$B$153,$A28,'Scenario Minutes'!$C$4:$C$153)/SUMIF('Scenario Minutes'!$B$4:$B$153,$A28,'Scenario Minutes'!$H$4:$H$153),0)</f>
        <v>0.235199821998372</v>
      </c>
      <c r="C28" s="8" t="n">
        <f aca="false">IFERROR(SUMIF('Scenario Minutes'!$B$4:$B$153,$A28,'Scenario Minutes'!$D$4:$D$153)/SUMIF('Scenario Minutes'!$B$4:$B$153,$A28,'Scenario Minutes'!$H$4:$H$153),0)</f>
        <v>0.572816319512923</v>
      </c>
      <c r="D28" s="8" t="n">
        <f aca="false">IFERROR(SUMIF('Scenario Minutes'!$B$4:$B$153,$A28,'Scenario Minutes'!$E$4:$E$153)/SUMIF('Scenario Minutes'!$B$4:$B$153,$A28,'Scenario Minutes'!$H$4:$H$153),0)</f>
        <v>0.104393909512468</v>
      </c>
      <c r="E28" s="8" t="n">
        <f aca="false">IFERROR(SUMIF('Scenario Minutes'!$B$4:$B$153,$A28,'Scenario Minutes'!$F$4:$F$153)/SUMIF('Scenario Minutes'!$B$4:$B$153,$A28,'Scenario Minutes'!$H$4:$H$153),0)</f>
        <v>0.0875899489762378</v>
      </c>
      <c r="F28" s="8" t="n">
        <f aca="false">IFERROR(SUMIF('Scenario Minutes'!$B$4:$B$153,$A28,'Scenario Minutes'!$G$4:$G$153)/SUMIF('Scenario Minutes'!$B$4:$B$153,$A28,'Scenario Minutes'!$H$4:$H$153),0)</f>
        <v>0</v>
      </c>
    </row>
    <row r="29" customFormat="false" ht="15" hidden="false" customHeight="false" outlineLevel="0" collapsed="false">
      <c r="A29" s="7" t="s">
        <v>73</v>
      </c>
      <c r="B29" s="8" t="n">
        <f aca="false">IFERROR(SUMIF('Scenario Minutes'!$B$4:$B$153,$A29,'Scenario Minutes'!$C$4:$C$153)/SUMIF('Scenario Minutes'!$B$4:$B$153,$A29,'Scenario Minutes'!$H$4:$H$153),0)</f>
        <v>0.237321563682219</v>
      </c>
      <c r="C29" s="8" t="n">
        <f aca="false">IFERROR(SUMIF('Scenario Minutes'!$B$4:$B$153,$A29,'Scenario Minutes'!$D$4:$D$153)/SUMIF('Scenario Minutes'!$B$4:$B$153,$A29,'Scenario Minutes'!$H$4:$H$153),0)</f>
        <v>0.562612862547289</v>
      </c>
      <c r="D29" s="8" t="n">
        <f aca="false">IFERROR(SUMIF('Scenario Minutes'!$B$4:$B$153,$A29,'Scenario Minutes'!$E$4:$E$153)/SUMIF('Scenario Minutes'!$B$4:$B$153,$A29,'Scenario Minutes'!$H$4:$H$153),0)</f>
        <v>0.13133921815889</v>
      </c>
      <c r="E29" s="8" t="n">
        <f aca="false">IFERROR(SUMIF('Scenario Minutes'!$B$4:$B$153,$A29,'Scenario Minutes'!$F$4:$F$153)/SUMIF('Scenario Minutes'!$B$4:$B$153,$A29,'Scenario Minutes'!$H$4:$H$153),0)</f>
        <v>0.0429457755359395</v>
      </c>
      <c r="F29" s="8" t="n">
        <f aca="false">IFERROR(SUMIF('Scenario Minutes'!$B$4:$B$153,$A29,'Scenario Minutes'!$G$4:$G$153)/SUMIF('Scenario Minutes'!$B$4:$B$153,$A29,'Scenario Minutes'!$H$4:$H$153),0)</f>
        <v>0.025780580075662</v>
      </c>
    </row>
    <row r="30" customFormat="false" ht="15" hidden="false" customHeight="false" outlineLevel="0" collapsed="false">
      <c r="A30" s="7" t="s">
        <v>74</v>
      </c>
      <c r="B30" s="8" t="n">
        <f aca="false">IFERROR(SUMIF('Scenario Minutes'!$B$4:$B$153,$A30,'Scenario Minutes'!$C$4:$C$153)/SUMIF('Scenario Minutes'!$B$4:$B$153,$A30,'Scenario Minutes'!$H$4:$H$153),0)</f>
        <v>0.345501033344955</v>
      </c>
      <c r="C30" s="8" t="n">
        <f aca="false">IFERROR(SUMIF('Scenario Minutes'!$B$4:$B$153,$A30,'Scenario Minutes'!$D$4:$D$153)/SUMIF('Scenario Minutes'!$B$4:$B$153,$A30,'Scenario Minutes'!$H$4:$H$153),0)</f>
        <v>0.485874250256441</v>
      </c>
      <c r="D30" s="8" t="n">
        <f aca="false">IFERROR(SUMIF('Scenario Minutes'!$B$4:$B$153,$A30,'Scenario Minutes'!$E$4:$E$153)/SUMIF('Scenario Minutes'!$B$4:$B$153,$A30,'Scenario Minutes'!$H$4:$H$153),0)</f>
        <v>0.0991152141727429</v>
      </c>
      <c r="E30" s="8" t="n">
        <f aca="false">IFERROR(SUMIF('Scenario Minutes'!$B$4:$B$153,$A30,'Scenario Minutes'!$F$4:$F$153)/SUMIF('Scenario Minutes'!$B$4:$B$153,$A30,'Scenario Minutes'!$H$4:$H$153),0)</f>
        <v>0.0695095022258604</v>
      </c>
      <c r="F30" s="8" t="n">
        <f aca="false">IFERROR(SUMIF('Scenario Minutes'!$B$4:$B$153,$A30,'Scenario Minutes'!$G$4:$G$153)/SUMIF('Scenario Minutes'!$B$4:$B$153,$A30,'Scenario Minutes'!$H$4:$H$153),0)</f>
        <v>0</v>
      </c>
    </row>
    <row r="31" customFormat="false" ht="15" hidden="false" customHeight="false" outlineLevel="0" collapsed="false">
      <c r="A31" s="7" t="s">
        <v>75</v>
      </c>
      <c r="B31" s="8" t="n">
        <f aca="false">IFERROR(SUMIF('Scenario Minutes'!$B$4:$B$153,$A31,'Scenario Minutes'!$C$4:$C$153)/SUMIF('Scenario Minutes'!$B$4:$B$153,$A31,'Scenario Minutes'!$H$4:$H$153),0)</f>
        <v>0.249143105215069</v>
      </c>
      <c r="C31" s="8" t="n">
        <f aca="false">IFERROR(SUMIF('Scenario Minutes'!$B$4:$B$153,$A31,'Scenario Minutes'!$D$4:$D$153)/SUMIF('Scenario Minutes'!$B$4:$B$153,$A31,'Scenario Minutes'!$H$4:$H$153),0)</f>
        <v>0.585247780150329</v>
      </c>
      <c r="D31" s="8" t="n">
        <f aca="false">IFERROR(SUMIF('Scenario Minutes'!$B$4:$B$153,$A31,'Scenario Minutes'!$E$4:$E$153)/SUMIF('Scenario Minutes'!$B$4:$B$153,$A31,'Scenario Minutes'!$H$4:$H$153),0)</f>
        <v>0.112973816122242</v>
      </c>
      <c r="E31" s="8" t="n">
        <f aca="false">IFERROR(SUMIF('Scenario Minutes'!$B$4:$B$153,$A31,'Scenario Minutes'!$F$4:$F$153)/SUMIF('Scenario Minutes'!$B$4:$B$153,$A31,'Scenario Minutes'!$H$4:$H$153),0)</f>
        <v>0.05263529851236</v>
      </c>
      <c r="F31" s="8" t="n">
        <f aca="false">IFERROR(SUMIF('Scenario Minutes'!$B$4:$B$153,$A31,'Scenario Minutes'!$G$4:$G$153)/SUMIF('Scenario Minutes'!$B$4:$B$153,$A31,'Scenario Minutes'!$H$4:$H$153),0)</f>
        <v>0</v>
      </c>
    </row>
    <row r="32" customFormat="false" ht="15" hidden="false" customHeight="false" outlineLevel="0" collapsed="false">
      <c r="A32" s="7" t="s">
        <v>76</v>
      </c>
      <c r="B32" s="8" t="n">
        <f aca="false">IFERROR(SUMIF('Scenario Minutes'!$B$4:$B$153,$A32,'Scenario Minutes'!$C$4:$C$153)/SUMIF('Scenario Minutes'!$B$4:$B$153,$A32,'Scenario Minutes'!$H$4:$H$153),0)</f>
        <v>0.231684768881031</v>
      </c>
      <c r="C32" s="8" t="n">
        <f aca="false">IFERROR(SUMIF('Scenario Minutes'!$B$4:$B$153,$A32,'Scenario Minutes'!$D$4:$D$153)/SUMIF('Scenario Minutes'!$B$4:$B$153,$A32,'Scenario Minutes'!$H$4:$H$153),0)</f>
        <v>0.607825208385956</v>
      </c>
      <c r="D32" s="8" t="n">
        <f aca="false">IFERROR(SUMIF('Scenario Minutes'!$B$4:$B$153,$A32,'Scenario Minutes'!$E$4:$E$153)/SUMIF('Scenario Minutes'!$B$4:$B$153,$A32,'Scenario Minutes'!$H$4:$H$153),0)</f>
        <v>0.0509977266986613</v>
      </c>
      <c r="E32" s="8" t="n">
        <f aca="false">IFERROR(SUMIF('Scenario Minutes'!$B$4:$B$153,$A32,'Scenario Minutes'!$F$4:$F$153)/SUMIF('Scenario Minutes'!$B$4:$B$153,$A32,'Scenario Minutes'!$H$4:$H$153),0)</f>
        <v>0.109492296034352</v>
      </c>
      <c r="F32" s="8" t="n">
        <f aca="false">IFERROR(SUMIF('Scenario Minutes'!$B$4:$B$153,$A32,'Scenario Minutes'!$G$4:$G$153)/SUMIF('Scenario Minutes'!$B$4:$B$153,$A32,'Scenario Minutes'!$H$4:$H$153),0)</f>
        <v>0</v>
      </c>
    </row>
    <row r="33" customFormat="false" ht="15" hidden="false" customHeight="false" outlineLevel="0" collapsed="false">
      <c r="A33" s="7" t="s">
        <v>77</v>
      </c>
      <c r="B33" s="8" t="n">
        <f aca="false">IFERROR(SUMIF('Scenario Minutes'!$B$4:$B$153,$A33,'Scenario Minutes'!$C$4:$C$153)/SUMIF('Scenario Minutes'!$B$4:$B$153,$A33,'Scenario Minutes'!$H$4:$H$153),0)</f>
        <v>0.284205465587045</v>
      </c>
      <c r="C33" s="8" t="n">
        <f aca="false">IFERROR(SUMIF('Scenario Minutes'!$B$4:$B$153,$A33,'Scenario Minutes'!$D$4:$D$153)/SUMIF('Scenario Minutes'!$B$4:$B$153,$A33,'Scenario Minutes'!$H$4:$H$153),0)</f>
        <v>0.522434210526316</v>
      </c>
      <c r="D33" s="8" t="n">
        <f aca="false">IFERROR(SUMIF('Scenario Minutes'!$B$4:$B$153,$A33,'Scenario Minutes'!$E$4:$E$153)/SUMIF('Scenario Minutes'!$B$4:$B$153,$A33,'Scenario Minutes'!$H$4:$H$153),0)</f>
        <v>0.106837044534413</v>
      </c>
      <c r="E33" s="8" t="n">
        <f aca="false">IFERROR(SUMIF('Scenario Minutes'!$B$4:$B$153,$A33,'Scenario Minutes'!$F$4:$F$153)/SUMIF('Scenario Minutes'!$B$4:$B$153,$A33,'Scenario Minutes'!$H$4:$H$153),0)</f>
        <v>0.0865232793522267</v>
      </c>
      <c r="F33" s="8" t="n">
        <f aca="false">IFERROR(SUMIF('Scenario Minutes'!$B$4:$B$153,$A33,'Scenario Minutes'!$G$4:$G$153)/SUMIF('Scenario Minutes'!$B$4:$B$153,$A33,'Scenario Minutes'!$H$4:$H$153),0)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10" min="3" style="0" width="12"/>
  </cols>
  <sheetData>
    <row r="1" customFormat="false" ht="17.3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15" hidden="false" customHeight="false" outlineLevel="0" collapsed="false">
      <c r="A4" s="6" t="s">
        <v>36</v>
      </c>
      <c r="B4" s="6" t="s">
        <v>37</v>
      </c>
      <c r="C4" s="6" t="s">
        <v>81</v>
      </c>
      <c r="D4" s="6" t="s">
        <v>82</v>
      </c>
      <c r="E4" s="6" t="s">
        <v>83</v>
      </c>
      <c r="F4" s="6" t="s">
        <v>84</v>
      </c>
      <c r="G4" s="6" t="s">
        <v>85</v>
      </c>
      <c r="H4" s="6" t="s">
        <v>86</v>
      </c>
      <c r="I4" s="6" t="s">
        <v>87</v>
      </c>
      <c r="J4" s="6" t="s">
        <v>88</v>
      </c>
    </row>
    <row r="5" customFormat="false" ht="15" hidden="false" customHeight="false" outlineLevel="0" collapsed="false">
      <c r="A5" s="7" t="s">
        <v>43</v>
      </c>
      <c r="B5" s="7" t="s">
        <v>44</v>
      </c>
      <c r="C5" s="8" t="n">
        <f aca="false">IFERROR('Start-Class Minutes'!C4/'Start-Class Minutes'!$K4,0)</f>
        <v>0.13397614818574</v>
      </c>
      <c r="D5" s="8" t="n">
        <f aca="false">IFERROR('Start-Class Minutes'!D4/'Start-Class Minutes'!$K4,0)</f>
        <v>0.51281400659731</v>
      </c>
      <c r="E5" s="8" t="n">
        <f aca="false">IFERROR('Start-Class Minutes'!E4/'Start-Class Minutes'!$K4,0)</f>
        <v>0.182694747526009</v>
      </c>
      <c r="F5" s="8" t="n">
        <f aca="false">IFERROR('Start-Class Minutes'!F4/'Start-Class Minutes'!$K4,0)</f>
        <v>0.0243592996701345</v>
      </c>
      <c r="G5" s="8" t="n">
        <f aca="false">IFERROR('Start-Class Minutes'!G4/'Start-Class Minutes'!$K4,0)</f>
        <v>0.0365389495052017</v>
      </c>
      <c r="H5" s="8" t="n">
        <f aca="false">IFERROR('Start-Class Minutes'!H4/'Start-Class Minutes'!$K4,0)</f>
        <v>0.0121796498350672</v>
      </c>
      <c r="I5" s="8" t="n">
        <f aca="false">IFERROR('Start-Class Minutes'!I4/'Start-Class Minutes'!$K4,0)</f>
        <v>0</v>
      </c>
      <c r="J5" s="8" t="n">
        <f aca="false">IFERROR('Start-Class Minutes'!J4/'Start-Class Minutes'!$K4,0)</f>
        <v>0.0974371986805379</v>
      </c>
    </row>
    <row r="6" customFormat="false" ht="15" hidden="false" customHeight="false" outlineLevel="0" collapsed="false">
      <c r="A6" s="7" t="s">
        <v>45</v>
      </c>
      <c r="B6" s="7" t="s">
        <v>44</v>
      </c>
      <c r="C6" s="8" t="n">
        <f aca="false">IFERROR('Start-Class Minutes'!C5/'Start-Class Minutes'!$K5,0)</f>
        <v>0.511458071014858</v>
      </c>
      <c r="D6" s="8" t="n">
        <f aca="false">IFERROR('Start-Class Minutes'!D5/'Start-Class Minutes'!$K5,0)</f>
        <v>0.293880634600856</v>
      </c>
      <c r="E6" s="8" t="n">
        <f aca="false">IFERROR('Start-Class Minutes'!E5/'Start-Class Minutes'!$K5,0)</f>
        <v>0.0241752707126668</v>
      </c>
      <c r="F6" s="8" t="n">
        <f aca="false">IFERROR('Start-Class Minutes'!F5/'Start-Class Minutes'!$K5,0)</f>
        <v>0.0725258121380005</v>
      </c>
      <c r="G6" s="8" t="n">
        <f aca="false">IFERROR('Start-Class Minutes'!G5/'Start-Class Minutes'!$K5,0)</f>
        <v>0.0120876353563334</v>
      </c>
      <c r="H6" s="8" t="n">
        <f aca="false">IFERROR('Start-Class Minutes'!H5/'Start-Class Minutes'!$K5,0)</f>
        <v>0</v>
      </c>
      <c r="I6" s="8" t="n">
        <f aca="false">IFERROR('Start-Class Minutes'!I5/'Start-Class Minutes'!$K5,0)</f>
        <v>0.0133467640392848</v>
      </c>
      <c r="J6" s="8" t="n">
        <f aca="false">IFERROR('Start-Class Minutes'!J5/'Start-Class Minutes'!$K5,0)</f>
        <v>0.0725258121380005</v>
      </c>
    </row>
    <row r="7" customFormat="false" ht="15" hidden="false" customHeight="false" outlineLevel="0" collapsed="false">
      <c r="A7" s="7" t="s">
        <v>46</v>
      </c>
      <c r="B7" s="7" t="s">
        <v>44</v>
      </c>
      <c r="C7" s="8" t="n">
        <f aca="false">IFERROR('Start-Class Minutes'!C6/'Start-Class Minutes'!$K6,0)</f>
        <v>0.437673130193906</v>
      </c>
      <c r="D7" s="8" t="n">
        <f aca="false">IFERROR('Start-Class Minutes'!D6/'Start-Class Minutes'!$K6,0)</f>
        <v>0.281792999244523</v>
      </c>
      <c r="E7" s="8" t="n">
        <f aca="false">IFERROR('Start-Class Minutes'!E6/'Start-Class Minutes'!$K6,0)</f>
        <v>0.0737849408209519</v>
      </c>
      <c r="F7" s="8" t="n">
        <f aca="false">IFERROR('Start-Class Minutes'!F6/'Start-Class Minutes'!$K6,0)</f>
        <v>0.0241752707126668</v>
      </c>
      <c r="G7" s="8" t="n">
        <f aca="false">IFERROR('Start-Class Minutes'!G6/'Start-Class Minutes'!$K6,0)</f>
        <v>0.146310752958952</v>
      </c>
      <c r="H7" s="8" t="n">
        <f aca="false">IFERROR('Start-Class Minutes'!H6/'Start-Class Minutes'!$K6,0)</f>
        <v>0.0120876353563334</v>
      </c>
      <c r="I7" s="8" t="n">
        <f aca="false">IFERROR('Start-Class Minutes'!I6/'Start-Class Minutes'!$K6,0)</f>
        <v>0</v>
      </c>
      <c r="J7" s="8" t="n">
        <f aca="false">IFERROR('Start-Class Minutes'!J6/'Start-Class Minutes'!$K6,0)</f>
        <v>0.0241752707126668</v>
      </c>
    </row>
    <row r="8" customFormat="false" ht="15" hidden="false" customHeight="false" outlineLevel="0" collapsed="false">
      <c r="A8" s="7" t="s">
        <v>47</v>
      </c>
      <c r="B8" s="7" t="s">
        <v>44</v>
      </c>
      <c r="C8" s="8" t="n">
        <f aca="false">IFERROR('Start-Class Minutes'!C7/'Start-Class Minutes'!$K7,0)</f>
        <v>0.293731041456016</v>
      </c>
      <c r="D8" s="8" t="n">
        <f aca="false">IFERROR('Start-Class Minutes'!D7/'Start-Class Minutes'!$K7,0)</f>
        <v>0.122598584428716</v>
      </c>
      <c r="E8" s="8" t="n">
        <f aca="false">IFERROR('Start-Class Minutes'!E7/'Start-Class Minutes'!$K7,0)</f>
        <v>0.0728008088978766</v>
      </c>
      <c r="F8" s="8" t="n">
        <f aca="false">IFERROR('Start-Class Minutes'!F7/'Start-Class Minutes'!$K7,0)</f>
        <v>0.0970677451971689</v>
      </c>
      <c r="G8" s="8" t="n">
        <f aca="false">IFERROR('Start-Class Minutes'!G7/'Start-Class Minutes'!$K7,0)</f>
        <v>0.341001011122346</v>
      </c>
      <c r="H8" s="8" t="n">
        <f aca="false">IFERROR('Start-Class Minutes'!H7/'Start-Class Minutes'!$K7,0)</f>
        <v>0</v>
      </c>
      <c r="I8" s="8" t="n">
        <f aca="false">IFERROR('Start-Class Minutes'!I7/'Start-Class Minutes'!$K7,0)</f>
        <v>0</v>
      </c>
      <c r="J8" s="8" t="n">
        <f aca="false">IFERROR('Start-Class Minutes'!J7/'Start-Class Minutes'!$K7,0)</f>
        <v>0.0728008088978766</v>
      </c>
    </row>
    <row r="9" customFormat="false" ht="15" hidden="false" customHeight="false" outlineLevel="0" collapsed="false">
      <c r="A9" s="7" t="s">
        <v>48</v>
      </c>
      <c r="B9" s="7" t="s">
        <v>44</v>
      </c>
      <c r="C9" s="8" t="n">
        <f aca="false">IFERROR('Start-Class Minutes'!C8/'Start-Class Minutes'!$K8,0)</f>
        <v>0.52619589977221</v>
      </c>
      <c r="D9" s="8" t="n">
        <f aca="false">IFERROR('Start-Class Minutes'!D8/'Start-Class Minutes'!$K8,0)</f>
        <v>0.388762338648443</v>
      </c>
      <c r="E9" s="8" t="n">
        <f aca="false">IFERROR('Start-Class Minutes'!E8/'Start-Class Minutes'!$K8,0)</f>
        <v>0.0242976461655277</v>
      </c>
      <c r="F9" s="8" t="n">
        <f aca="false">IFERROR('Start-Class Minutes'!F8/'Start-Class Minutes'!$K8,0)</f>
        <v>0.0121488230827639</v>
      </c>
      <c r="G9" s="8" t="n">
        <f aca="false">IFERROR('Start-Class Minutes'!G8/'Start-Class Minutes'!$K8,0)</f>
        <v>0.0242976461655277</v>
      </c>
      <c r="H9" s="8" t="n">
        <f aca="false">IFERROR('Start-Class Minutes'!H8/'Start-Class Minutes'!$K8,0)</f>
        <v>0</v>
      </c>
      <c r="I9" s="8" t="n">
        <f aca="false">IFERROR('Start-Class Minutes'!I8/'Start-Class Minutes'!$K8,0)</f>
        <v>0</v>
      </c>
      <c r="J9" s="8" t="n">
        <f aca="false">IFERROR('Start-Class Minutes'!J8/'Start-Class Minutes'!$K8,0)</f>
        <v>0.0242976461655277</v>
      </c>
    </row>
    <row r="10" customFormat="false" ht="15" hidden="false" customHeight="false" outlineLevel="0" collapsed="false">
      <c r="A10" s="7" t="s">
        <v>43</v>
      </c>
      <c r="B10" s="7" t="s">
        <v>49</v>
      </c>
      <c r="C10" s="8" t="n">
        <f aca="false">IFERROR('Start-Class Minutes'!C9/'Start-Class Minutes'!$K9,0)</f>
        <v>0.0121488230827639</v>
      </c>
      <c r="D10" s="8" t="n">
        <f aca="false">IFERROR('Start-Class Minutes'!D9/'Start-Class Minutes'!$K9,0)</f>
        <v>0.0485952923310554</v>
      </c>
      <c r="E10" s="8" t="n">
        <f aca="false">IFERROR('Start-Class Minutes'!E9/'Start-Class Minutes'!$K9,0)</f>
        <v>0.304986079473551</v>
      </c>
      <c r="F10" s="8" t="n">
        <f aca="false">IFERROR('Start-Class Minutes'!F9/'Start-Class Minutes'!$K9,0)</f>
        <v>0.133637053910402</v>
      </c>
      <c r="G10" s="8" t="n">
        <f aca="false">IFERROR('Start-Class Minutes'!G9/'Start-Class Minutes'!$K9,0)</f>
        <v>0.15793470007593</v>
      </c>
      <c r="H10" s="8" t="n">
        <f aca="false">IFERROR('Start-Class Minutes'!H9/'Start-Class Minutes'!$K9,0)</f>
        <v>0.109339407744875</v>
      </c>
      <c r="I10" s="8" t="n">
        <f aca="false">IFERROR('Start-Class Minutes'!I9/'Start-Class Minutes'!$K9,0)</f>
        <v>0.0377119716527461</v>
      </c>
      <c r="J10" s="8" t="n">
        <f aca="false">IFERROR('Start-Class Minutes'!J9/'Start-Class Minutes'!$K9,0)</f>
        <v>0.195646671728676</v>
      </c>
    </row>
    <row r="11" customFormat="false" ht="15" hidden="false" customHeight="false" outlineLevel="0" collapsed="false">
      <c r="A11" s="7" t="s">
        <v>45</v>
      </c>
      <c r="B11" s="7" t="s">
        <v>49</v>
      </c>
      <c r="C11" s="8" t="n">
        <f aca="false">IFERROR('Start-Class Minutes'!C10/'Start-Class Minutes'!$K10,0)</f>
        <v>0.305372529143436</v>
      </c>
      <c r="D11" s="8" t="n">
        <f aca="false">IFERROR('Start-Class Minutes'!D10/'Start-Class Minutes'!$K10,0)</f>
        <v>0.0121642169285352</v>
      </c>
      <c r="E11" s="8" t="n">
        <f aca="false">IFERROR('Start-Class Minutes'!E10/'Start-Class Minutes'!$K10,0)</f>
        <v>0.24455144450076</v>
      </c>
      <c r="F11" s="8" t="n">
        <f aca="false">IFERROR('Start-Class Minutes'!F10/'Start-Class Minutes'!$K10,0)</f>
        <v>0.0121642169285352</v>
      </c>
      <c r="G11" s="8" t="n">
        <f aca="false">IFERROR('Start-Class Minutes'!G10/'Start-Class Minutes'!$K10,0)</f>
        <v>0.304105423213381</v>
      </c>
      <c r="H11" s="8" t="n">
        <f aca="false">IFERROR('Start-Class Minutes'!H10/'Start-Class Minutes'!$K10,0)</f>
        <v>0.0121642169285352</v>
      </c>
      <c r="I11" s="8" t="n">
        <f aca="false">IFERROR('Start-Class Minutes'!I10/'Start-Class Minutes'!$K10,0)</f>
        <v>0</v>
      </c>
      <c r="J11" s="8" t="n">
        <f aca="false">IFERROR('Start-Class Minutes'!J10/'Start-Class Minutes'!$K10,0)</f>
        <v>0.109477952356817</v>
      </c>
    </row>
    <row r="12" customFormat="false" ht="15" hidden="false" customHeight="false" outlineLevel="0" collapsed="false">
      <c r="A12" s="7" t="s">
        <v>46</v>
      </c>
      <c r="B12" s="7" t="s">
        <v>49</v>
      </c>
      <c r="C12" s="8" t="n">
        <f aca="false">IFERROR('Start-Class Minutes'!C11/'Start-Class Minutes'!$K11,0)</f>
        <v>0.842464024236304</v>
      </c>
      <c r="D12" s="8" t="n">
        <f aca="false">IFERROR('Start-Class Minutes'!D11/'Start-Class Minutes'!$K11,0)</f>
        <v>0.0727089118909366</v>
      </c>
      <c r="E12" s="8" t="n">
        <f aca="false">IFERROR('Start-Class Minutes'!E11/'Start-Class Minutes'!$K11,0)</f>
        <v>0.0363544559454683</v>
      </c>
      <c r="F12" s="8" t="n">
        <f aca="false">IFERROR('Start-Class Minutes'!F11/'Start-Class Minutes'!$K11,0)</f>
        <v>0</v>
      </c>
      <c r="G12" s="8" t="n">
        <f aca="false">IFERROR('Start-Class Minutes'!G11/'Start-Class Minutes'!$K11,0)</f>
        <v>0</v>
      </c>
      <c r="H12" s="8" t="n">
        <f aca="false">IFERROR('Start-Class Minutes'!H11/'Start-Class Minutes'!$K11,0)</f>
        <v>0.0363544559454683</v>
      </c>
      <c r="I12" s="8" t="n">
        <f aca="false">IFERROR('Start-Class Minutes'!I11/'Start-Class Minutes'!$K11,0)</f>
        <v>0</v>
      </c>
      <c r="J12" s="8" t="n">
        <f aca="false">IFERROR('Start-Class Minutes'!J11/'Start-Class Minutes'!$K11,0)</f>
        <v>0.0121181519818228</v>
      </c>
    </row>
    <row r="13" customFormat="false" ht="15" hidden="false" customHeight="false" outlineLevel="0" collapsed="false">
      <c r="A13" s="7" t="s">
        <v>47</v>
      </c>
      <c r="B13" s="7" t="s">
        <v>49</v>
      </c>
      <c r="C13" s="8" t="n">
        <f aca="false">IFERROR('Start-Class Minutes'!C12/'Start-Class Minutes'!$K12,0)</f>
        <v>0.401668351870576</v>
      </c>
      <c r="D13" s="8" t="n">
        <f aca="false">IFERROR('Start-Class Minutes'!D12/'Start-Class Minutes'!$K12,0)</f>
        <v>0.307128412537917</v>
      </c>
      <c r="E13" s="8" t="n">
        <f aca="false">IFERROR('Start-Class Minutes'!E12/'Start-Class Minutes'!$K12,0)</f>
        <v>0.0606673407482305</v>
      </c>
      <c r="F13" s="8" t="n">
        <f aca="false">IFERROR('Start-Class Minutes'!F12/'Start-Class Minutes'!$K12,0)</f>
        <v>0.0364004044489383</v>
      </c>
      <c r="G13" s="8" t="n">
        <f aca="false">IFERROR('Start-Class Minutes'!G12/'Start-Class Minutes'!$K12,0)</f>
        <v>0.121334681496461</v>
      </c>
      <c r="H13" s="8" t="n">
        <f aca="false">IFERROR('Start-Class Minutes'!H12/'Start-Class Minutes'!$K12,0)</f>
        <v>0</v>
      </c>
      <c r="I13" s="8" t="n">
        <f aca="false">IFERROR('Start-Class Minutes'!I12/'Start-Class Minutes'!$K12,0)</f>
        <v>0.0121334681496461</v>
      </c>
      <c r="J13" s="8" t="n">
        <f aca="false">IFERROR('Start-Class Minutes'!J12/'Start-Class Minutes'!$K12,0)</f>
        <v>0.0606673407482305</v>
      </c>
    </row>
    <row r="14" customFormat="false" ht="15" hidden="false" customHeight="false" outlineLevel="0" collapsed="false">
      <c r="A14" s="7" t="s">
        <v>48</v>
      </c>
      <c r="B14" s="7" t="s">
        <v>49</v>
      </c>
      <c r="C14" s="8" t="n">
        <f aca="false">IFERROR('Start-Class Minutes'!C13/'Start-Class Minutes'!$K13,0)</f>
        <v>0</v>
      </c>
      <c r="D14" s="8" t="n">
        <f aca="false">IFERROR('Start-Class Minutes'!D13/'Start-Class Minutes'!$K13,0)</f>
        <v>0.0364464692482916</v>
      </c>
      <c r="E14" s="8" t="n">
        <f aca="false">IFERROR('Start-Class Minutes'!E13/'Start-Class Minutes'!$K13,0)</f>
        <v>0.0364464692482916</v>
      </c>
      <c r="F14" s="8" t="n">
        <f aca="false">IFERROR('Start-Class Minutes'!F13/'Start-Class Minutes'!$K13,0)</f>
        <v>0</v>
      </c>
      <c r="G14" s="8" t="n">
        <f aca="false">IFERROR('Start-Class Minutes'!G13/'Start-Class Minutes'!$K13,0)</f>
        <v>0.170083523158694</v>
      </c>
      <c r="H14" s="8" t="n">
        <f aca="false">IFERROR('Start-Class Minutes'!H13/'Start-Class Minutes'!$K13,0)</f>
        <v>0</v>
      </c>
      <c r="I14" s="8" t="n">
        <f aca="false">IFERROR('Start-Class Minutes'!I13/'Start-Class Minutes'!$K13,0)</f>
        <v>0</v>
      </c>
      <c r="J14" s="8" t="n">
        <f aca="false">IFERROR('Start-Class Minutes'!J13/'Start-Class Minutes'!$K13,0)</f>
        <v>0.757023538344723</v>
      </c>
    </row>
    <row r="15" customFormat="false" ht="15" hidden="false" customHeight="false" outlineLevel="0" collapsed="false">
      <c r="A15" s="7" t="s">
        <v>43</v>
      </c>
      <c r="B15" s="7" t="s">
        <v>50</v>
      </c>
      <c r="C15" s="8" t="n">
        <f aca="false">IFERROR('Start-Class Minutes'!C14/'Start-Class Minutes'!$K14,0)</f>
        <v>0.411203215272545</v>
      </c>
      <c r="D15" s="8" t="n">
        <f aca="false">IFERROR('Start-Class Minutes'!D14/'Start-Class Minutes'!$K14,0)</f>
        <v>0.318512936448129</v>
      </c>
      <c r="E15" s="8" t="n">
        <f aca="false">IFERROR('Start-Class Minutes'!E14/'Start-Class Minutes'!$K14,0)</f>
        <v>0.0723436322532027</v>
      </c>
      <c r="F15" s="8" t="n">
        <f aca="false">IFERROR('Start-Class Minutes'!F14/'Start-Class Minutes'!$K14,0)</f>
        <v>0.160512434061794</v>
      </c>
      <c r="G15" s="8" t="n">
        <f aca="false">IFERROR('Start-Class Minutes'!G14/'Start-Class Minutes'!$K14,0)</f>
        <v>0.0120572720422005</v>
      </c>
      <c r="H15" s="8" t="n">
        <f aca="false">IFERROR('Start-Class Minutes'!H14/'Start-Class Minutes'!$K14,0)</f>
        <v>0</v>
      </c>
      <c r="I15" s="8" t="n">
        <f aca="false">IFERROR('Start-Class Minutes'!I14/'Start-Class Minutes'!$K14,0)</f>
        <v>0</v>
      </c>
      <c r="J15" s="8" t="n">
        <f aca="false">IFERROR('Start-Class Minutes'!J14/'Start-Class Minutes'!$K14,0)</f>
        <v>0.0253705099221301</v>
      </c>
    </row>
    <row r="16" customFormat="false" ht="15" hidden="false" customHeight="false" outlineLevel="0" collapsed="false">
      <c r="A16" s="7" t="s">
        <v>45</v>
      </c>
      <c r="B16" s="7" t="s">
        <v>50</v>
      </c>
      <c r="C16" s="8" t="n">
        <f aca="false">IFERROR('Start-Class Minutes'!C15/'Start-Class Minutes'!$K15,0)</f>
        <v>0.366616616616617</v>
      </c>
      <c r="D16" s="8" t="n">
        <f aca="false">IFERROR('Start-Class Minutes'!D15/'Start-Class Minutes'!$K15,0)</f>
        <v>0.329329329329329</v>
      </c>
      <c r="E16" s="8" t="n">
        <f aca="false">IFERROR('Start-Class Minutes'!E15/'Start-Class Minutes'!$K15,0)</f>
        <v>0.109359359359359</v>
      </c>
      <c r="F16" s="8" t="n">
        <f aca="false">IFERROR('Start-Class Minutes'!F15/'Start-Class Minutes'!$K15,0)</f>
        <v>0.0480480480480481</v>
      </c>
      <c r="G16" s="8" t="n">
        <f aca="false">IFERROR('Start-Class Minutes'!G15/'Start-Class Minutes'!$K15,0)</f>
        <v>0.0720720720720721</v>
      </c>
      <c r="H16" s="8" t="n">
        <f aca="false">IFERROR('Start-Class Minutes'!H15/'Start-Class Minutes'!$K15,0)</f>
        <v>0.0132632632632633</v>
      </c>
      <c r="I16" s="8" t="n">
        <f aca="false">IFERROR('Start-Class Minutes'!I15/'Start-Class Minutes'!$K15,0)</f>
        <v>0</v>
      </c>
      <c r="J16" s="8" t="n">
        <f aca="false">IFERROR('Start-Class Minutes'!J15/'Start-Class Minutes'!$K15,0)</f>
        <v>0.0613113113113113</v>
      </c>
    </row>
    <row r="17" customFormat="false" ht="15" hidden="false" customHeight="false" outlineLevel="0" collapsed="false">
      <c r="A17" s="7" t="s">
        <v>46</v>
      </c>
      <c r="B17" s="7" t="s">
        <v>50</v>
      </c>
      <c r="C17" s="8" t="n">
        <f aca="false">IFERROR('Start-Class Minutes'!C16/'Start-Class Minutes'!$K16,0)</f>
        <v>0.449067070095814</v>
      </c>
      <c r="D17" s="8" t="n">
        <f aca="false">IFERROR('Start-Class Minutes'!D16/'Start-Class Minutes'!$K16,0)</f>
        <v>0.357286938981341</v>
      </c>
      <c r="E17" s="8" t="n">
        <f aca="false">IFERROR('Start-Class Minutes'!E16/'Start-Class Minutes'!$K16,0)</f>
        <v>0.0242057488653555</v>
      </c>
      <c r="F17" s="8" t="n">
        <f aca="false">IFERROR('Start-Class Minutes'!F16/'Start-Class Minutes'!$K16,0)</f>
        <v>0.0968229954614221</v>
      </c>
      <c r="G17" s="8" t="n">
        <f aca="false">IFERROR('Start-Class Minutes'!G16/'Start-Class Minutes'!$K16,0)</f>
        <v>0.0242057488653555</v>
      </c>
      <c r="H17" s="8" t="n">
        <f aca="false">IFERROR('Start-Class Minutes'!H16/'Start-Class Minutes'!$K16,0)</f>
        <v>0</v>
      </c>
      <c r="I17" s="8" t="n">
        <f aca="false">IFERROR('Start-Class Minutes'!I16/'Start-Class Minutes'!$K16,0)</f>
        <v>0</v>
      </c>
      <c r="J17" s="8" t="n">
        <f aca="false">IFERROR('Start-Class Minutes'!J16/'Start-Class Minutes'!$K16,0)</f>
        <v>0.048411497730711</v>
      </c>
    </row>
    <row r="18" customFormat="false" ht="15" hidden="false" customHeight="false" outlineLevel="0" collapsed="false">
      <c r="A18" s="7" t="s">
        <v>47</v>
      </c>
      <c r="B18" s="7" t="s">
        <v>50</v>
      </c>
      <c r="C18" s="8" t="n">
        <f aca="false">IFERROR('Start-Class Minutes'!C17/'Start-Class Minutes'!$K17,0)</f>
        <v>0.559253656076652</v>
      </c>
      <c r="D18" s="8" t="n">
        <f aca="false">IFERROR('Start-Class Minutes'!D17/'Start-Class Minutes'!$K17,0)</f>
        <v>0.231215330307615</v>
      </c>
      <c r="E18" s="8" t="n">
        <f aca="false">IFERROR('Start-Class Minutes'!E17/'Start-Class Minutes'!$K17,0)</f>
        <v>0.0872415532022189</v>
      </c>
      <c r="F18" s="8" t="n">
        <f aca="false">IFERROR('Start-Class Minutes'!F17/'Start-Class Minutes'!$K17,0)</f>
        <v>0.0617750882501261</v>
      </c>
      <c r="G18" s="8" t="n">
        <f aca="false">IFERROR('Start-Class Minutes'!G17/'Start-Class Minutes'!$K17,0)</f>
        <v>0.0242057488653555</v>
      </c>
      <c r="H18" s="8" t="n">
        <f aca="false">IFERROR('Start-Class Minutes'!H17/'Start-Class Minutes'!$K17,0)</f>
        <v>0</v>
      </c>
      <c r="I18" s="8" t="n">
        <f aca="false">IFERROR('Start-Class Minutes'!I17/'Start-Class Minutes'!$K17,0)</f>
        <v>0</v>
      </c>
      <c r="J18" s="8" t="n">
        <f aca="false">IFERROR('Start-Class Minutes'!J17/'Start-Class Minutes'!$K17,0)</f>
        <v>0.0363086232980333</v>
      </c>
    </row>
    <row r="19" customFormat="false" ht="15" hidden="false" customHeight="false" outlineLevel="0" collapsed="false">
      <c r="A19" s="7" t="s">
        <v>48</v>
      </c>
      <c r="B19" s="7" t="s">
        <v>50</v>
      </c>
      <c r="C19" s="8" t="n">
        <f aca="false">IFERROR('Start-Class Minutes'!C18/'Start-Class Minutes'!$K18,0)</f>
        <v>0.133806386213888</v>
      </c>
      <c r="D19" s="8" t="n">
        <f aca="false">IFERROR('Start-Class Minutes'!D18/'Start-Class Minutes'!$K18,0)</f>
        <v>0.586416624429802</v>
      </c>
      <c r="E19" s="8" t="n">
        <f aca="false">IFERROR('Start-Class Minutes'!E18/'Start-Class Minutes'!$K18,0)</f>
        <v>0.145970603142423</v>
      </c>
      <c r="F19" s="8" t="n">
        <f aca="false">IFERROR('Start-Class Minutes'!F18/'Start-Class Minutes'!$K18,0)</f>
        <v>0.0608210846426761</v>
      </c>
      <c r="G19" s="8" t="n">
        <f aca="false">IFERROR('Start-Class Minutes'!G18/'Start-Class Minutes'!$K18,0)</f>
        <v>0.0121642169285352</v>
      </c>
      <c r="H19" s="8" t="n">
        <f aca="false">IFERROR('Start-Class Minutes'!H18/'Start-Class Minutes'!$K18,0)</f>
        <v>0</v>
      </c>
      <c r="I19" s="8" t="n">
        <f aca="false">IFERROR('Start-Class Minutes'!I18/'Start-Class Minutes'!$K18,0)</f>
        <v>0.0121642169285352</v>
      </c>
      <c r="J19" s="8" t="n">
        <f aca="false">IFERROR('Start-Class Minutes'!J18/'Start-Class Minutes'!$K18,0)</f>
        <v>0.0486568677141409</v>
      </c>
    </row>
    <row r="20" customFormat="false" ht="15" hidden="false" customHeight="false" outlineLevel="0" collapsed="false">
      <c r="A20" s="7" t="s">
        <v>43</v>
      </c>
      <c r="B20" s="7" t="s">
        <v>51</v>
      </c>
      <c r="C20" s="8" t="n">
        <f aca="false">IFERROR('Start-Class Minutes'!C19/'Start-Class Minutes'!$K19,0)</f>
        <v>0.363430583501006</v>
      </c>
      <c r="D20" s="8" t="n">
        <f aca="false">IFERROR('Start-Class Minutes'!D19/'Start-Class Minutes'!$K19,0)</f>
        <v>0.562877263581489</v>
      </c>
      <c r="E20" s="8" t="n">
        <f aca="false">IFERROR('Start-Class Minutes'!E19/'Start-Class Minutes'!$K19,0)</f>
        <v>0.0120724346076459</v>
      </c>
      <c r="F20" s="8" t="n">
        <f aca="false">IFERROR('Start-Class Minutes'!F19/'Start-Class Minutes'!$K19,0)</f>
        <v>0</v>
      </c>
      <c r="G20" s="8" t="n">
        <f aca="false">IFERROR('Start-Class Minutes'!G19/'Start-Class Minutes'!$K19,0)</f>
        <v>0.0120724346076459</v>
      </c>
      <c r="H20" s="8" t="n">
        <f aca="false">IFERROR('Start-Class Minutes'!H19/'Start-Class Minutes'!$K19,0)</f>
        <v>0</v>
      </c>
      <c r="I20" s="8" t="n">
        <f aca="false">IFERROR('Start-Class Minutes'!I19/'Start-Class Minutes'!$K19,0)</f>
        <v>0</v>
      </c>
      <c r="J20" s="8" t="n">
        <f aca="false">IFERROR('Start-Class Minutes'!J19/'Start-Class Minutes'!$K19,0)</f>
        <v>0.0495472837022133</v>
      </c>
    </row>
    <row r="21" customFormat="false" ht="15" hidden="false" customHeight="false" outlineLevel="0" collapsed="false">
      <c r="A21" s="7" t="s">
        <v>45</v>
      </c>
      <c r="B21" s="7" t="s">
        <v>51</v>
      </c>
      <c r="C21" s="8" t="n">
        <f aca="false">IFERROR('Start-Class Minutes'!C20/'Start-Class Minutes'!$K20,0)</f>
        <v>0.306354009077156</v>
      </c>
      <c r="D21" s="8" t="n">
        <f aca="false">IFERROR('Start-Class Minutes'!D20/'Start-Class Minutes'!$K20,0)</f>
        <v>0.342662632375189</v>
      </c>
      <c r="E21" s="8" t="n">
        <f aca="false">IFERROR('Start-Class Minutes'!E20/'Start-Class Minutes'!$K20,0)</f>
        <v>0.145234493192133</v>
      </c>
      <c r="F21" s="8" t="n">
        <f aca="false">IFERROR('Start-Class Minutes'!F20/'Start-Class Minutes'!$K20,0)</f>
        <v>0.0121028744326778</v>
      </c>
      <c r="G21" s="8" t="n">
        <f aca="false">IFERROR('Start-Class Minutes'!G20/'Start-Class Minutes'!$K20,0)</f>
        <v>0.048411497730711</v>
      </c>
      <c r="H21" s="8" t="n">
        <f aca="false">IFERROR('Start-Class Minutes'!H20/'Start-Class Minutes'!$K20,0)</f>
        <v>0.048411497730711</v>
      </c>
      <c r="I21" s="8" t="n">
        <f aca="false">IFERROR('Start-Class Minutes'!I20/'Start-Class Minutes'!$K20,0)</f>
        <v>0</v>
      </c>
      <c r="J21" s="8" t="n">
        <f aca="false">IFERROR('Start-Class Minutes'!J20/'Start-Class Minutes'!$K20,0)</f>
        <v>0.0968229954614221</v>
      </c>
    </row>
    <row r="22" customFormat="false" ht="15" hidden="false" customHeight="false" outlineLevel="0" collapsed="false">
      <c r="A22" s="7" t="s">
        <v>46</v>
      </c>
      <c r="B22" s="7" t="s">
        <v>51</v>
      </c>
      <c r="C22" s="8" t="n">
        <f aca="false">IFERROR('Start-Class Minutes'!C21/'Start-Class Minutes'!$K21,0)</f>
        <v>0</v>
      </c>
      <c r="D22" s="8" t="n">
        <f aca="false">IFERROR('Start-Class Minutes'!D21/'Start-Class Minutes'!$K21,0)</f>
        <v>0.341865179929042</v>
      </c>
      <c r="E22" s="8" t="n">
        <f aca="false">IFERROR('Start-Class Minutes'!E21/'Start-Class Minutes'!$K21,0)</f>
        <v>0</v>
      </c>
      <c r="F22" s="8" t="n">
        <f aca="false">IFERROR('Start-Class Minutes'!F21/'Start-Class Minutes'!$K21,0)</f>
        <v>0.463507349214394</v>
      </c>
      <c r="G22" s="8" t="n">
        <f aca="false">IFERROR('Start-Class Minutes'!G21/'Start-Class Minutes'!$K21,0)</f>
        <v>0</v>
      </c>
      <c r="H22" s="8" t="n">
        <f aca="false">IFERROR('Start-Class Minutes'!H21/'Start-Class Minutes'!$K21,0)</f>
        <v>0</v>
      </c>
      <c r="I22" s="8" t="n">
        <f aca="false">IFERROR('Start-Class Minutes'!I21/'Start-Class Minutes'!$K21,0)</f>
        <v>0.0243284338570705</v>
      </c>
      <c r="J22" s="8" t="n">
        <f aca="false">IFERROR('Start-Class Minutes'!J21/'Start-Class Minutes'!$K21,0)</f>
        <v>0.170299036999493</v>
      </c>
    </row>
    <row r="23" customFormat="false" ht="15" hidden="false" customHeight="false" outlineLevel="0" collapsed="false">
      <c r="A23" s="7" t="s">
        <v>47</v>
      </c>
      <c r="B23" s="7" t="s">
        <v>51</v>
      </c>
      <c r="C23" s="8" t="n">
        <f aca="false">IFERROR('Start-Class Minutes'!C22/'Start-Class Minutes'!$K22,0)</f>
        <v>0</v>
      </c>
      <c r="D23" s="8" t="n">
        <f aca="false">IFERROR('Start-Class Minutes'!D22/'Start-Class Minutes'!$K22,0)</f>
        <v>0.121488230827639</v>
      </c>
      <c r="E23" s="8" t="n">
        <f aca="false">IFERROR('Start-Class Minutes'!E22/'Start-Class Minutes'!$K22,0)</f>
        <v>0.0242976461655277</v>
      </c>
      <c r="F23" s="8" t="n">
        <f aca="false">IFERROR('Start-Class Minutes'!F22/'Start-Class Minutes'!$K22,0)</f>
        <v>0.159200202480385</v>
      </c>
      <c r="G23" s="8" t="n">
        <f aca="false">IFERROR('Start-Class Minutes'!G22/'Start-Class Minutes'!$K22,0)</f>
        <v>0.145785876993166</v>
      </c>
      <c r="H23" s="8" t="n">
        <f aca="false">IFERROR('Start-Class Minutes'!H22/'Start-Class Minutes'!$K22,0)</f>
        <v>0.0741584409010377</v>
      </c>
      <c r="I23" s="8" t="n">
        <f aca="false">IFERROR('Start-Class Minutes'!I22/'Start-Class Minutes'!$K22,0)</f>
        <v>0</v>
      </c>
      <c r="J23" s="8" t="n">
        <f aca="false">IFERROR('Start-Class Minutes'!J22/'Start-Class Minutes'!$K22,0)</f>
        <v>0.475069602632245</v>
      </c>
    </row>
    <row r="24" customFormat="false" ht="15" hidden="false" customHeight="false" outlineLevel="0" collapsed="false">
      <c r="A24" s="7" t="s">
        <v>48</v>
      </c>
      <c r="B24" s="7" t="s">
        <v>51</v>
      </c>
      <c r="C24" s="8" t="n">
        <f aca="false">IFERROR('Start-Class Minutes'!C23/'Start-Class Minutes'!$K23,0)</f>
        <v>0.485952923310554</v>
      </c>
      <c r="D24" s="8" t="n">
        <f aca="false">IFERROR('Start-Class Minutes'!D23/'Start-Class Minutes'!$K23,0)</f>
        <v>0.196912174133131</v>
      </c>
      <c r="E24" s="8" t="n">
        <f aca="false">IFERROR('Start-Class Minutes'!E23/'Start-Class Minutes'!$K23,0)</f>
        <v>0.0364464692482916</v>
      </c>
      <c r="F24" s="8" t="n">
        <f aca="false">IFERROR('Start-Class Minutes'!F23/'Start-Class Minutes'!$K23,0)</f>
        <v>0.171349025563149</v>
      </c>
      <c r="G24" s="8" t="n">
        <f aca="false">IFERROR('Start-Class Minutes'!G23/'Start-Class Minutes'!$K23,0)</f>
        <v>0</v>
      </c>
      <c r="H24" s="8" t="n">
        <f aca="false">IFERROR('Start-Class Minutes'!H23/'Start-Class Minutes'!$K23,0)</f>
        <v>0</v>
      </c>
      <c r="I24" s="8" t="n">
        <f aca="false">IFERROR('Start-Class Minutes'!I23/'Start-Class Minutes'!$K23,0)</f>
        <v>0.0242976461655277</v>
      </c>
      <c r="J24" s="8" t="n">
        <f aca="false">IFERROR('Start-Class Minutes'!J23/'Start-Class Minutes'!$K23,0)</f>
        <v>0.085041761579347</v>
      </c>
    </row>
    <row r="25" customFormat="false" ht="15" hidden="false" customHeight="false" outlineLevel="0" collapsed="false">
      <c r="A25" s="7" t="s">
        <v>43</v>
      </c>
      <c r="B25" s="7" t="s">
        <v>52</v>
      </c>
      <c r="C25" s="8" t="n">
        <f aca="false">IFERROR('Start-Class Minutes'!C24/'Start-Class Minutes'!$K24,0)</f>
        <v>0.133806386213888</v>
      </c>
      <c r="D25" s="8" t="n">
        <f aca="false">IFERROR('Start-Class Minutes'!D24/'Start-Class Minutes'!$K24,0)</f>
        <v>0.427014698428789</v>
      </c>
      <c r="E25" s="8" t="n">
        <f aca="false">IFERROR('Start-Class Minutes'!E24/'Start-Class Minutes'!$K24,0)</f>
        <v>0.0243284338570705</v>
      </c>
      <c r="F25" s="8" t="n">
        <f aca="false">IFERROR('Start-Class Minutes'!F24/'Start-Class Minutes'!$K24,0)</f>
        <v>0.195894576786619</v>
      </c>
      <c r="G25" s="8" t="n">
        <f aca="false">IFERROR('Start-Class Minutes'!G24/'Start-Class Minutes'!$K24,0)</f>
        <v>0.121642169285352</v>
      </c>
      <c r="H25" s="8" t="n">
        <f aca="false">IFERROR('Start-Class Minutes'!H24/'Start-Class Minutes'!$K24,0)</f>
        <v>0</v>
      </c>
      <c r="I25" s="8" t="n">
        <f aca="false">IFERROR('Start-Class Minutes'!I24/'Start-Class Minutes'!$K24,0)</f>
        <v>0</v>
      </c>
      <c r="J25" s="8" t="n">
        <f aca="false">IFERROR('Start-Class Minutes'!J24/'Start-Class Minutes'!$K24,0)</f>
        <v>0.0973137354282818</v>
      </c>
    </row>
    <row r="26" customFormat="false" ht="15" hidden="false" customHeight="false" outlineLevel="0" collapsed="false">
      <c r="A26" s="7" t="s">
        <v>45</v>
      </c>
      <c r="B26" s="7" t="s">
        <v>52</v>
      </c>
      <c r="C26" s="8" t="n">
        <f aca="false">IFERROR('Start-Class Minutes'!C25/'Start-Class Minutes'!$K25,0)</f>
        <v>0.550113036925396</v>
      </c>
      <c r="D26" s="8" t="n">
        <f aca="false">IFERROR('Start-Class Minutes'!D25/'Start-Class Minutes'!$K25,0)</f>
        <v>0.425772418990203</v>
      </c>
      <c r="E26" s="8" t="n">
        <f aca="false">IFERROR('Start-Class Minutes'!E25/'Start-Class Minutes'!$K25,0)</f>
        <v>0</v>
      </c>
      <c r="F26" s="8" t="n">
        <f aca="false">IFERROR('Start-Class Minutes'!F25/'Start-Class Minutes'!$K25,0)</f>
        <v>0.0241145440844009</v>
      </c>
      <c r="G26" s="8" t="n">
        <f aca="false">IFERROR('Start-Class Minutes'!G25/'Start-Class Minutes'!$K25,0)</f>
        <v>0</v>
      </c>
      <c r="H26" s="8" t="n">
        <f aca="false">IFERROR('Start-Class Minutes'!H25/'Start-Class Minutes'!$K25,0)</f>
        <v>0</v>
      </c>
      <c r="I26" s="8" t="n">
        <f aca="false">IFERROR('Start-Class Minutes'!I25/'Start-Class Minutes'!$K25,0)</f>
        <v>0</v>
      </c>
      <c r="J26" s="8" t="n">
        <f aca="false">IFERROR('Start-Class Minutes'!J25/'Start-Class Minutes'!$K25,0)</f>
        <v>0</v>
      </c>
    </row>
    <row r="27" customFormat="false" ht="15" hidden="false" customHeight="false" outlineLevel="0" collapsed="false">
      <c r="A27" s="7" t="s">
        <v>46</v>
      </c>
      <c r="B27" s="7" t="s">
        <v>52</v>
      </c>
      <c r="C27" s="8" t="n">
        <f aca="false">IFERROR('Start-Class Minutes'!C26/'Start-Class Minutes'!$K26,0)</f>
        <v>0.326826826826827</v>
      </c>
      <c r="D27" s="8" t="n">
        <f aca="false">IFERROR('Start-Class Minutes'!D26/'Start-Class Minutes'!$K26,0)</f>
        <v>0.501251251251251</v>
      </c>
      <c r="E27" s="8" t="n">
        <f aca="false">IFERROR('Start-Class Minutes'!E26/'Start-Class Minutes'!$K26,0)</f>
        <v>0.0372872872872873</v>
      </c>
      <c r="F27" s="8" t="n">
        <f aca="false">IFERROR('Start-Class Minutes'!F26/'Start-Class Minutes'!$K26,0)</f>
        <v>0.0985985985985986</v>
      </c>
      <c r="G27" s="8" t="n">
        <f aca="false">IFERROR('Start-Class Minutes'!G26/'Start-Class Minutes'!$K26,0)</f>
        <v>0.012012012012012</v>
      </c>
      <c r="H27" s="8" t="n">
        <f aca="false">IFERROR('Start-Class Minutes'!H26/'Start-Class Minutes'!$K26,0)</f>
        <v>0</v>
      </c>
      <c r="I27" s="8" t="n">
        <f aca="false">IFERROR('Start-Class Minutes'!I26/'Start-Class Minutes'!$K26,0)</f>
        <v>0</v>
      </c>
      <c r="J27" s="8" t="n">
        <f aca="false">IFERROR('Start-Class Minutes'!J26/'Start-Class Minutes'!$K26,0)</f>
        <v>0.024024024024024</v>
      </c>
    </row>
    <row r="28" customFormat="false" ht="15" hidden="false" customHeight="false" outlineLevel="0" collapsed="false">
      <c r="A28" s="7" t="s">
        <v>47</v>
      </c>
      <c r="B28" s="7" t="s">
        <v>52</v>
      </c>
      <c r="C28" s="8" t="n">
        <f aca="false">IFERROR('Start-Class Minutes'!C27/'Start-Class Minutes'!$K27,0)</f>
        <v>0</v>
      </c>
      <c r="D28" s="8" t="n">
        <f aca="false">IFERROR('Start-Class Minutes'!D27/'Start-Class Minutes'!$K27,0)</f>
        <v>0.449506454062263</v>
      </c>
      <c r="E28" s="8" t="n">
        <f aca="false">IFERROR('Start-Class Minutes'!E27/'Start-Class Minutes'!$K27,0)</f>
        <v>0.0121488230827639</v>
      </c>
      <c r="F28" s="8" t="n">
        <f aca="false">IFERROR('Start-Class Minutes'!F27/'Start-Class Minutes'!$K27,0)</f>
        <v>0.427739812705644</v>
      </c>
      <c r="G28" s="8" t="n">
        <f aca="false">IFERROR('Start-Class Minutes'!G27/'Start-Class Minutes'!$K27,0)</f>
        <v>0</v>
      </c>
      <c r="H28" s="8" t="n">
        <f aca="false">IFERROR('Start-Class Minutes'!H27/'Start-Class Minutes'!$K27,0)</f>
        <v>0</v>
      </c>
      <c r="I28" s="8" t="n">
        <f aca="false">IFERROR('Start-Class Minutes'!I27/'Start-Class Minutes'!$K27,0)</f>
        <v>0</v>
      </c>
      <c r="J28" s="8" t="n">
        <f aca="false">IFERROR('Start-Class Minutes'!J27/'Start-Class Minutes'!$K27,0)</f>
        <v>0.110604910149329</v>
      </c>
    </row>
    <row r="29" customFormat="false" ht="15" hidden="false" customHeight="false" outlineLevel="0" collapsed="false">
      <c r="A29" s="7" t="s">
        <v>48</v>
      </c>
      <c r="B29" s="7" t="s">
        <v>52</v>
      </c>
      <c r="C29" s="8" t="n">
        <f aca="false">IFERROR('Start-Class Minutes'!C28/'Start-Class Minutes'!$K28,0)</f>
        <v>0.340167046317388</v>
      </c>
      <c r="D29" s="8" t="n">
        <f aca="false">IFERROR('Start-Class Minutes'!D28/'Start-Class Minutes'!$K28,0)</f>
        <v>0.342698051126297</v>
      </c>
      <c r="E29" s="8" t="n">
        <f aca="false">IFERROR('Start-Class Minutes'!E28/'Start-Class Minutes'!$K28,0)</f>
        <v>0.0121488230827639</v>
      </c>
      <c r="F29" s="8" t="n">
        <f aca="false">IFERROR('Start-Class Minutes'!F28/'Start-Class Minutes'!$K28,0)</f>
        <v>0.195646671728676</v>
      </c>
      <c r="G29" s="8" t="n">
        <f aca="false">IFERROR('Start-Class Minutes'!G28/'Start-Class Minutes'!$K28,0)</f>
        <v>0.0364464692482916</v>
      </c>
      <c r="H29" s="8" t="n">
        <f aca="false">IFERROR('Start-Class Minutes'!H28/'Start-Class Minutes'!$K28,0)</f>
        <v>0</v>
      </c>
      <c r="I29" s="8" t="n">
        <f aca="false">IFERROR('Start-Class Minutes'!I28/'Start-Class Minutes'!$K28,0)</f>
        <v>0</v>
      </c>
      <c r="J29" s="8" t="n">
        <f aca="false">IFERROR('Start-Class Minutes'!J28/'Start-Class Minutes'!$K28,0)</f>
        <v>0.0728929384965831</v>
      </c>
    </row>
    <row r="30" customFormat="false" ht="15" hidden="false" customHeight="false" outlineLevel="0" collapsed="false">
      <c r="A30" s="7" t="s">
        <v>43</v>
      </c>
      <c r="B30" s="7" t="s">
        <v>53</v>
      </c>
      <c r="C30" s="8" t="n">
        <f aca="false">IFERROR('Start-Class Minutes'!C29/'Start-Class Minutes'!$K29,0)</f>
        <v>0.267612772427775</v>
      </c>
      <c r="D30" s="8" t="n">
        <f aca="false">IFERROR('Start-Class Minutes'!D29/'Start-Class Minutes'!$K29,0)</f>
        <v>0.44044602128738</v>
      </c>
      <c r="E30" s="8" t="n">
        <f aca="false">IFERROR('Start-Class Minutes'!E29/'Start-Class Minutes'!$K29,0)</f>
        <v>0.0486568677141409</v>
      </c>
      <c r="F30" s="8" t="n">
        <f aca="false">IFERROR('Start-Class Minutes'!F29/'Start-Class Minutes'!$K29,0)</f>
        <v>0.0729853015712114</v>
      </c>
      <c r="G30" s="8" t="n">
        <f aca="false">IFERROR('Start-Class Minutes'!G29/'Start-Class Minutes'!$K29,0)</f>
        <v>0.121642169285352</v>
      </c>
      <c r="H30" s="8" t="n">
        <f aca="false">IFERROR('Start-Class Minutes'!H29/'Start-Class Minutes'!$K29,0)</f>
        <v>0</v>
      </c>
      <c r="I30" s="8" t="n">
        <f aca="false">IFERROR('Start-Class Minutes'!I29/'Start-Class Minutes'!$K29,0)</f>
        <v>0</v>
      </c>
      <c r="J30" s="8" t="n">
        <f aca="false">IFERROR('Start-Class Minutes'!J29/'Start-Class Minutes'!$K29,0)</f>
        <v>0.0486568677141409</v>
      </c>
    </row>
    <row r="31" customFormat="false" ht="15" hidden="false" customHeight="false" outlineLevel="0" collapsed="false">
      <c r="A31" s="7" t="s">
        <v>45</v>
      </c>
      <c r="B31" s="7" t="s">
        <v>53</v>
      </c>
      <c r="C31" s="8" t="n">
        <f aca="false">IFERROR('Start-Class Minutes'!C30/'Start-Class Minutes'!$K30,0)</f>
        <v>0.35261569416499</v>
      </c>
      <c r="D31" s="8" t="n">
        <f aca="false">IFERROR('Start-Class Minutes'!D30/'Start-Class Minutes'!$K30,0)</f>
        <v>0.243963782696177</v>
      </c>
      <c r="E31" s="8" t="n">
        <f aca="false">IFERROR('Start-Class Minutes'!E30/'Start-Class Minutes'!$K30,0)</f>
        <v>0.159456740442656</v>
      </c>
      <c r="F31" s="8" t="n">
        <f aca="false">IFERROR('Start-Class Minutes'!F30/'Start-Class Minutes'!$K30,0)</f>
        <v>0.0495472837022133</v>
      </c>
      <c r="G31" s="8" t="n">
        <f aca="false">IFERROR('Start-Class Minutes'!G30/'Start-Class Minutes'!$K30,0)</f>
        <v>0.108651911468813</v>
      </c>
      <c r="H31" s="8" t="n">
        <f aca="false">IFERROR('Start-Class Minutes'!H30/'Start-Class Minutes'!$K30,0)</f>
        <v>0.0120724346076459</v>
      </c>
      <c r="I31" s="8" t="n">
        <f aca="false">IFERROR('Start-Class Minutes'!I30/'Start-Class Minutes'!$K30,0)</f>
        <v>0.0120724346076459</v>
      </c>
      <c r="J31" s="8" t="n">
        <f aca="false">IFERROR('Start-Class Minutes'!J30/'Start-Class Minutes'!$K30,0)</f>
        <v>0.0616197183098592</v>
      </c>
    </row>
    <row r="32" customFormat="false" ht="15" hidden="false" customHeight="false" outlineLevel="0" collapsed="false">
      <c r="A32" s="7" t="s">
        <v>46</v>
      </c>
      <c r="B32" s="7" t="s">
        <v>53</v>
      </c>
      <c r="C32" s="8" t="n">
        <f aca="false">IFERROR('Start-Class Minutes'!C31/'Start-Class Minutes'!$K31,0)</f>
        <v>0.732138348901793</v>
      </c>
      <c r="D32" s="8" t="n">
        <f aca="false">IFERROR('Start-Class Minutes'!D31/'Start-Class Minutes'!$K31,0)</f>
        <v>0.122443827316334</v>
      </c>
      <c r="E32" s="8" t="n">
        <f aca="false">IFERROR('Start-Class Minutes'!E31/'Start-Class Minutes'!$K31,0)</f>
        <v>0.0848270638727594</v>
      </c>
      <c r="F32" s="8" t="n">
        <f aca="false">IFERROR('Start-Class Minutes'!F31/'Start-Class Minutes'!$K31,0)</f>
        <v>0.0605907599091139</v>
      </c>
      <c r="G32" s="8" t="n">
        <f aca="false">IFERROR('Start-Class Minutes'!G31/'Start-Class Minutes'!$K31,0)</f>
        <v>0</v>
      </c>
      <c r="H32" s="8" t="n">
        <f aca="false">IFERROR('Start-Class Minutes'!H31/'Start-Class Minutes'!$K31,0)</f>
        <v>0</v>
      </c>
      <c r="I32" s="8" t="n">
        <f aca="false">IFERROR('Start-Class Minutes'!I31/'Start-Class Minutes'!$K31,0)</f>
        <v>0</v>
      </c>
      <c r="J32" s="8" t="n">
        <f aca="false">IFERROR('Start-Class Minutes'!J31/'Start-Class Minutes'!$K31,0)</f>
        <v>0</v>
      </c>
    </row>
    <row r="33" customFormat="false" ht="15" hidden="false" customHeight="false" outlineLevel="0" collapsed="false">
      <c r="A33" s="7" t="s">
        <v>47</v>
      </c>
      <c r="B33" s="7" t="s">
        <v>53</v>
      </c>
      <c r="C33" s="8" t="n">
        <f aca="false">IFERROR('Start-Class Minutes'!C32/'Start-Class Minutes'!$K32,0)</f>
        <v>0.242976461655277</v>
      </c>
      <c r="D33" s="8" t="n">
        <f aca="false">IFERROR('Start-Class Minutes'!D32/'Start-Class Minutes'!$K32,0)</f>
        <v>0.645153125790939</v>
      </c>
      <c r="E33" s="8" t="n">
        <f aca="false">IFERROR('Start-Class Minutes'!E32/'Start-Class Minutes'!$K32,0)</f>
        <v>0.0121488230827639</v>
      </c>
      <c r="F33" s="8" t="n">
        <f aca="false">IFERROR('Start-Class Minutes'!F32/'Start-Class Minutes'!$K32,0)</f>
        <v>0.0607441154138193</v>
      </c>
      <c r="G33" s="8" t="n">
        <f aca="false">IFERROR('Start-Class Minutes'!G32/'Start-Class Minutes'!$K32,0)</f>
        <v>0.0121488230827639</v>
      </c>
      <c r="H33" s="8" t="n">
        <f aca="false">IFERROR('Start-Class Minutes'!H32/'Start-Class Minutes'!$K32,0)</f>
        <v>0</v>
      </c>
      <c r="I33" s="8" t="n">
        <f aca="false">IFERROR('Start-Class Minutes'!I32/'Start-Class Minutes'!$K32,0)</f>
        <v>0</v>
      </c>
      <c r="J33" s="8" t="n">
        <f aca="false">IFERROR('Start-Class Minutes'!J32/'Start-Class Minutes'!$K32,0)</f>
        <v>0.0268286509744369</v>
      </c>
    </row>
    <row r="34" customFormat="false" ht="15" hidden="false" customHeight="false" outlineLevel="0" collapsed="false">
      <c r="A34" s="7" t="s">
        <v>48</v>
      </c>
      <c r="B34" s="7" t="s">
        <v>53</v>
      </c>
      <c r="C34" s="8" t="n">
        <f aca="false">IFERROR('Start-Class Minutes'!C33/'Start-Class Minutes'!$K33,0)</f>
        <v>0.522399392558846</v>
      </c>
      <c r="D34" s="8" t="n">
        <f aca="false">IFERROR('Start-Class Minutes'!D33/'Start-Class Minutes'!$K33,0)</f>
        <v>0.356112376613516</v>
      </c>
      <c r="E34" s="8" t="n">
        <f aca="false">IFERROR('Start-Class Minutes'!E33/'Start-Class Minutes'!$K33,0)</f>
        <v>0.0121488230827639</v>
      </c>
      <c r="F34" s="8" t="n">
        <f aca="false">IFERROR('Start-Class Minutes'!F33/'Start-Class Minutes'!$K33,0)</f>
        <v>0.0364464692482916</v>
      </c>
      <c r="G34" s="8" t="n">
        <f aca="false">IFERROR('Start-Class Minutes'!G33/'Start-Class Minutes'!$K33,0)</f>
        <v>0.0485952923310554</v>
      </c>
      <c r="H34" s="8" t="n">
        <f aca="false">IFERROR('Start-Class Minutes'!H33/'Start-Class Minutes'!$K33,0)</f>
        <v>0</v>
      </c>
      <c r="I34" s="8" t="n">
        <f aca="false">IFERROR('Start-Class Minutes'!I33/'Start-Class Minutes'!$K33,0)</f>
        <v>0</v>
      </c>
      <c r="J34" s="8" t="n">
        <f aca="false">IFERROR('Start-Class Minutes'!J33/'Start-Class Minutes'!$K33,0)</f>
        <v>0.0242976461655277</v>
      </c>
    </row>
    <row r="35" customFormat="false" ht="15" hidden="false" customHeight="false" outlineLevel="0" collapsed="false">
      <c r="A35" s="7" t="s">
        <v>43</v>
      </c>
      <c r="B35" s="7" t="s">
        <v>54</v>
      </c>
      <c r="C35" s="8" t="n">
        <f aca="false">IFERROR('Start-Class Minutes'!C34/'Start-Class Minutes'!$K34,0)</f>
        <v>0</v>
      </c>
      <c r="D35" s="8" t="n">
        <f aca="false">IFERROR('Start-Class Minutes'!D34/'Start-Class Minutes'!$K34,0)</f>
        <v>0.780055682105796</v>
      </c>
      <c r="E35" s="8" t="n">
        <f aca="false">IFERROR('Start-Class Minutes'!E34/'Start-Class Minutes'!$K34,0)</f>
        <v>0.0242976461655277</v>
      </c>
      <c r="F35" s="8" t="n">
        <f aca="false">IFERROR('Start-Class Minutes'!F34/'Start-Class Minutes'!$K34,0)</f>
        <v>0.171349025563149</v>
      </c>
      <c r="G35" s="8" t="n">
        <f aca="false">IFERROR('Start-Class Minutes'!G34/'Start-Class Minutes'!$K34,0)</f>
        <v>0.0121488230827639</v>
      </c>
      <c r="H35" s="8" t="n">
        <f aca="false">IFERROR('Start-Class Minutes'!H34/'Start-Class Minutes'!$K34,0)</f>
        <v>0</v>
      </c>
      <c r="I35" s="8" t="n">
        <f aca="false">IFERROR('Start-Class Minutes'!I34/'Start-Class Minutes'!$K34,0)</f>
        <v>0</v>
      </c>
      <c r="J35" s="8" t="n">
        <f aca="false">IFERROR('Start-Class Minutes'!J34/'Start-Class Minutes'!$K34,0)</f>
        <v>0.0121488230827639</v>
      </c>
    </row>
    <row r="36" customFormat="false" ht="15" hidden="false" customHeight="false" outlineLevel="0" collapsed="false">
      <c r="A36" s="7" t="s">
        <v>45</v>
      </c>
      <c r="B36" s="7" t="s">
        <v>54</v>
      </c>
      <c r="C36" s="8" t="n">
        <f aca="false">IFERROR('Start-Class Minutes'!C35/'Start-Class Minutes'!$K35,0)</f>
        <v>0.389111891620672</v>
      </c>
      <c r="D36" s="8" t="n">
        <f aca="false">IFERROR('Start-Class Minutes'!D35/'Start-Class Minutes'!$K35,0)</f>
        <v>0.36628198695434</v>
      </c>
      <c r="E36" s="8" t="n">
        <f aca="false">IFERROR('Start-Class Minutes'!E35/'Start-Class Minutes'!$K35,0)</f>
        <v>0.0855494229804315</v>
      </c>
      <c r="F36" s="8" t="n">
        <f aca="false">IFERROR('Start-Class Minutes'!F35/'Start-Class Minutes'!$K35,0)</f>
        <v>0.0361264425489212</v>
      </c>
      <c r="G36" s="8" t="n">
        <f aca="false">IFERROR('Start-Class Minutes'!G35/'Start-Class Minutes'!$K35,0)</f>
        <v>0.0735072754641244</v>
      </c>
      <c r="H36" s="8" t="n">
        <f aca="false">IFERROR('Start-Class Minutes'!H35/'Start-Class Minutes'!$K35,0)</f>
        <v>0.0120421475163071</v>
      </c>
      <c r="I36" s="8" t="n">
        <f aca="false">IFERROR('Start-Class Minutes'!I35/'Start-Class Minutes'!$K35,0)</f>
        <v>0.0120421475163071</v>
      </c>
      <c r="J36" s="8" t="n">
        <f aca="false">IFERROR('Start-Class Minutes'!J35/'Start-Class Minutes'!$K35,0)</f>
        <v>0.0253386853988961</v>
      </c>
    </row>
    <row r="37" customFormat="false" ht="15" hidden="false" customHeight="false" outlineLevel="0" collapsed="false">
      <c r="A37" s="7" t="s">
        <v>46</v>
      </c>
      <c r="B37" s="7" t="s">
        <v>54</v>
      </c>
      <c r="C37" s="8" t="n">
        <f aca="false">IFERROR('Start-Class Minutes'!C36/'Start-Class Minutes'!$K36,0)</f>
        <v>0.317939609236234</v>
      </c>
      <c r="D37" s="8" t="n">
        <f aca="false">IFERROR('Start-Class Minutes'!D36/'Start-Class Minutes'!$K36,0)</f>
        <v>0.328850545546816</v>
      </c>
      <c r="E37" s="8" t="n">
        <f aca="false">IFERROR('Start-Class Minutes'!E36/'Start-Class Minutes'!$K36,0)</f>
        <v>0.0365389495052017</v>
      </c>
      <c r="F37" s="8" t="n">
        <f aca="false">IFERROR('Start-Class Minutes'!F36/'Start-Class Minutes'!$K36,0)</f>
        <v>0.158335447855874</v>
      </c>
      <c r="G37" s="8" t="n">
        <f aca="false">IFERROR('Start-Class Minutes'!G36/'Start-Class Minutes'!$K36,0)</f>
        <v>0.0730778990104035</v>
      </c>
      <c r="H37" s="8" t="n">
        <f aca="false">IFERROR('Start-Class Minutes'!H36/'Start-Class Minutes'!$K36,0)</f>
        <v>0</v>
      </c>
      <c r="I37" s="8" t="n">
        <f aca="false">IFERROR('Start-Class Minutes'!I36/'Start-Class Minutes'!$K36,0)</f>
        <v>0</v>
      </c>
      <c r="J37" s="8" t="n">
        <f aca="false">IFERROR('Start-Class Minutes'!J36/'Start-Class Minutes'!$K36,0)</f>
        <v>0.0852575488454707</v>
      </c>
    </row>
    <row r="38" customFormat="false" ht="15" hidden="false" customHeight="false" outlineLevel="0" collapsed="false">
      <c r="A38" s="7" t="s">
        <v>47</v>
      </c>
      <c r="B38" s="7" t="s">
        <v>54</v>
      </c>
      <c r="C38" s="8" t="n">
        <f aca="false">IFERROR('Start-Class Minutes'!C37/'Start-Class Minutes'!$K37,0)</f>
        <v>0.0851495184997466</v>
      </c>
      <c r="D38" s="8" t="n">
        <f aca="false">IFERROR('Start-Class Minutes'!D37/'Start-Class Minutes'!$K37,0)</f>
        <v>0.232387227572225</v>
      </c>
      <c r="E38" s="8" t="n">
        <f aca="false">IFERROR('Start-Class Minutes'!E37/'Start-Class Minutes'!$K37,0)</f>
        <v>0.0243284338570705</v>
      </c>
      <c r="F38" s="8" t="n">
        <f aca="false">IFERROR('Start-Class Minutes'!F37/'Start-Class Minutes'!$K37,0)</f>
        <v>0.304105423213381</v>
      </c>
      <c r="G38" s="8" t="n">
        <f aca="false">IFERROR('Start-Class Minutes'!G37/'Start-Class Minutes'!$K37,0)</f>
        <v>0.0499239736441967</v>
      </c>
      <c r="H38" s="8" t="n">
        <f aca="false">IFERROR('Start-Class Minutes'!H37/'Start-Class Minutes'!$K37,0)</f>
        <v>0.0121642169285352</v>
      </c>
      <c r="I38" s="8" t="n">
        <f aca="false">IFERROR('Start-Class Minutes'!I37/'Start-Class Minutes'!$K37,0)</f>
        <v>0.0121642169285352</v>
      </c>
      <c r="J38" s="8" t="n">
        <f aca="false">IFERROR('Start-Class Minutes'!J37/'Start-Class Minutes'!$K37,0)</f>
        <v>0.27977698935631</v>
      </c>
    </row>
    <row r="39" customFormat="false" ht="15" hidden="false" customHeight="false" outlineLevel="0" collapsed="false">
      <c r="A39" s="7" t="s">
        <v>48</v>
      </c>
      <c r="B39" s="7" t="s">
        <v>54</v>
      </c>
      <c r="C39" s="8" t="n">
        <f aca="false">IFERROR('Start-Class Minutes'!C38/'Start-Class Minutes'!$K38,0)</f>
        <v>0.111306975572904</v>
      </c>
      <c r="D39" s="8" t="n">
        <f aca="false">IFERROR('Start-Class Minutes'!D38/'Start-Class Minutes'!$K38,0)</f>
        <v>0.293880634600856</v>
      </c>
      <c r="E39" s="8" t="n">
        <f aca="false">IFERROR('Start-Class Minutes'!E38/'Start-Class Minutes'!$K38,0)</f>
        <v>0.280533870561571</v>
      </c>
      <c r="F39" s="8" t="n">
        <f aca="false">IFERROR('Start-Class Minutes'!F38/'Start-Class Minutes'!$K38,0)</f>
        <v>0.132963988919668</v>
      </c>
      <c r="G39" s="8" t="n">
        <f aca="false">IFERROR('Start-Class Minutes'!G38/'Start-Class Minutes'!$K38,0)</f>
        <v>0.0725258121380005</v>
      </c>
      <c r="H39" s="8" t="n">
        <f aca="false">IFERROR('Start-Class Minutes'!H38/'Start-Class Minutes'!$K38,0)</f>
        <v>0.0120876353563334</v>
      </c>
      <c r="I39" s="8" t="n">
        <f aca="false">IFERROR('Start-Class Minutes'!I38/'Start-Class Minutes'!$K38,0)</f>
        <v>0</v>
      </c>
      <c r="J39" s="8" t="n">
        <f aca="false">IFERROR('Start-Class Minutes'!J38/'Start-Class Minutes'!$K38,0)</f>
        <v>0.0967010828506673</v>
      </c>
    </row>
    <row r="40" customFormat="false" ht="15" hidden="false" customHeight="false" outlineLevel="0" collapsed="false">
      <c r="A40" s="7" t="s">
        <v>43</v>
      </c>
      <c r="B40" s="7" t="s">
        <v>55</v>
      </c>
      <c r="C40" s="8" t="n">
        <f aca="false">IFERROR('Start-Class Minutes'!C39/'Start-Class Minutes'!$K39,0)</f>
        <v>0.586720525119919</v>
      </c>
      <c r="D40" s="8" t="n">
        <f aca="false">IFERROR('Start-Class Minutes'!D39/'Start-Class Minutes'!$K39,0)</f>
        <v>0.21812673567281</v>
      </c>
      <c r="E40" s="8" t="n">
        <f aca="false">IFERROR('Start-Class Minutes'!E39/'Start-Class Minutes'!$K39,0)</f>
        <v>0.0969452158545822</v>
      </c>
      <c r="F40" s="8" t="n">
        <f aca="false">IFERROR('Start-Class Minutes'!F39/'Start-Class Minutes'!$K39,0)</f>
        <v>0.0121181519818228</v>
      </c>
      <c r="G40" s="8" t="n">
        <f aca="false">IFERROR('Start-Class Minutes'!G39/'Start-Class Minutes'!$K39,0)</f>
        <v>0.0727089118909366</v>
      </c>
      <c r="H40" s="8" t="n">
        <f aca="false">IFERROR('Start-Class Minutes'!H39/'Start-Class Minutes'!$K39,0)</f>
        <v>0</v>
      </c>
      <c r="I40" s="8" t="n">
        <f aca="false">IFERROR('Start-Class Minutes'!I39/'Start-Class Minutes'!$K39,0)</f>
        <v>0</v>
      </c>
      <c r="J40" s="8" t="n">
        <f aca="false">IFERROR('Start-Class Minutes'!J39/'Start-Class Minutes'!$K39,0)</f>
        <v>0.0133804594799293</v>
      </c>
    </row>
    <row r="41" customFormat="false" ht="15" hidden="false" customHeight="false" outlineLevel="0" collapsed="false">
      <c r="A41" s="7" t="s">
        <v>45</v>
      </c>
      <c r="B41" s="7" t="s">
        <v>55</v>
      </c>
      <c r="C41" s="8" t="n">
        <f aca="false">IFERROR('Start-Class Minutes'!C40/'Start-Class Minutes'!$K40,0)</f>
        <v>0.500632751202227</v>
      </c>
      <c r="D41" s="8" t="n">
        <f aca="false">IFERROR('Start-Class Minutes'!D40/'Start-Class Minutes'!$K40,0)</f>
        <v>0.255125284738041</v>
      </c>
      <c r="E41" s="8" t="n">
        <f aca="false">IFERROR('Start-Class Minutes'!E40/'Start-Class Minutes'!$K40,0)</f>
        <v>0.0607441154138193</v>
      </c>
      <c r="F41" s="8" t="n">
        <f aca="false">IFERROR('Start-Class Minutes'!F40/'Start-Class Minutes'!$K40,0)</f>
        <v>0.0242976461655277</v>
      </c>
      <c r="G41" s="8" t="n">
        <f aca="false">IFERROR('Start-Class Minutes'!G40/'Start-Class Minutes'!$K40,0)</f>
        <v>0.0741584409010377</v>
      </c>
      <c r="H41" s="8" t="n">
        <f aca="false">IFERROR('Start-Class Minutes'!H40/'Start-Class Minutes'!$K40,0)</f>
        <v>0</v>
      </c>
      <c r="I41" s="8" t="n">
        <f aca="false">IFERROR('Start-Class Minutes'!I40/'Start-Class Minutes'!$K40,0)</f>
        <v>0</v>
      </c>
      <c r="J41" s="8" t="n">
        <f aca="false">IFERROR('Start-Class Minutes'!J40/'Start-Class Minutes'!$K40,0)</f>
        <v>0.085041761579347</v>
      </c>
    </row>
    <row r="42" customFormat="false" ht="15" hidden="false" customHeight="false" outlineLevel="0" collapsed="false">
      <c r="A42" s="7" t="s">
        <v>46</v>
      </c>
      <c r="B42" s="7" t="s">
        <v>55</v>
      </c>
      <c r="C42" s="8" t="n">
        <f aca="false">IFERROR('Start-Class Minutes'!C41/'Start-Class Minutes'!$K41,0)</f>
        <v>0.585891905607714</v>
      </c>
      <c r="D42" s="8" t="n">
        <f aca="false">IFERROR('Start-Class Minutes'!D41/'Start-Class Minutes'!$K41,0)</f>
        <v>0.280131946206547</v>
      </c>
      <c r="E42" s="8" t="n">
        <f aca="false">IFERROR('Start-Class Minutes'!E41/'Start-Class Minutes'!$K41,0)</f>
        <v>0.048718599340269</v>
      </c>
      <c r="F42" s="8" t="n">
        <f aca="false">IFERROR('Start-Class Minutes'!F41/'Start-Class Minutes'!$K41,0)</f>
        <v>0.0121796498350672</v>
      </c>
      <c r="G42" s="8" t="n">
        <f aca="false">IFERROR('Start-Class Minutes'!G41/'Start-Class Minutes'!$K41,0)</f>
        <v>0.0608982491753362</v>
      </c>
      <c r="H42" s="8" t="n">
        <f aca="false">IFERROR('Start-Class Minutes'!H41/'Start-Class Minutes'!$K41,0)</f>
        <v>0</v>
      </c>
      <c r="I42" s="8" t="n">
        <f aca="false">IFERROR('Start-Class Minutes'!I41/'Start-Class Minutes'!$K41,0)</f>
        <v>0</v>
      </c>
      <c r="J42" s="8" t="n">
        <f aca="false">IFERROR('Start-Class Minutes'!J41/'Start-Class Minutes'!$K41,0)</f>
        <v>0.0121796498350672</v>
      </c>
    </row>
    <row r="43" customFormat="false" ht="15" hidden="false" customHeight="false" outlineLevel="0" collapsed="false">
      <c r="A43" s="7" t="s">
        <v>47</v>
      </c>
      <c r="B43" s="7" t="s">
        <v>55</v>
      </c>
      <c r="C43" s="8" t="n">
        <f aca="false">IFERROR('Start-Class Minutes'!C42/'Start-Class Minutes'!$K42,0)</f>
        <v>0.283052127927474</v>
      </c>
      <c r="D43" s="8" t="n">
        <f aca="false">IFERROR('Start-Class Minutes'!D42/'Start-Class Minutes'!$K42,0)</f>
        <v>0.484764542936288</v>
      </c>
      <c r="E43" s="8" t="n">
        <f aca="false">IFERROR('Start-Class Minutes'!E42/'Start-Class Minutes'!$K42,0)</f>
        <v>0.0604381767816671</v>
      </c>
      <c r="F43" s="8" t="n">
        <f aca="false">IFERROR('Start-Class Minutes'!F42/'Start-Class Minutes'!$K42,0)</f>
        <v>0.0362629060690003</v>
      </c>
      <c r="G43" s="8" t="n">
        <f aca="false">IFERROR('Start-Class Minutes'!G42/'Start-Class Minutes'!$K42,0)</f>
        <v>0.0629564341475699</v>
      </c>
      <c r="H43" s="8" t="n">
        <f aca="false">IFERROR('Start-Class Minutes'!H42/'Start-Class Minutes'!$K42,0)</f>
        <v>0</v>
      </c>
      <c r="I43" s="8" t="n">
        <f aca="false">IFERROR('Start-Class Minutes'!I42/'Start-Class Minutes'!$K42,0)</f>
        <v>0.0483505414253337</v>
      </c>
      <c r="J43" s="8" t="n">
        <f aca="false">IFERROR('Start-Class Minutes'!J42/'Start-Class Minutes'!$K42,0)</f>
        <v>0.0241752707126668</v>
      </c>
    </row>
    <row r="44" customFormat="false" ht="15" hidden="false" customHeight="false" outlineLevel="0" collapsed="false">
      <c r="A44" s="7" t="s">
        <v>48</v>
      </c>
      <c r="B44" s="7" t="s">
        <v>55</v>
      </c>
      <c r="C44" s="8" t="n">
        <f aca="false">IFERROR('Start-Class Minutes'!C43/'Start-Class Minutes'!$K43,0)</f>
        <v>0.318113396889112</v>
      </c>
      <c r="D44" s="8" t="n">
        <f aca="false">IFERROR('Start-Class Minutes'!D43/'Start-Class Minutes'!$K43,0)</f>
        <v>0.208479678876066</v>
      </c>
      <c r="E44" s="8" t="n">
        <f aca="false">IFERROR('Start-Class Minutes'!E43/'Start-Class Minutes'!$K43,0)</f>
        <v>0.145760160561967</v>
      </c>
      <c r="F44" s="8" t="n">
        <f aca="false">IFERROR('Start-Class Minutes'!F43/'Start-Class Minutes'!$K43,0)</f>
        <v>0.0614651279478174</v>
      </c>
      <c r="G44" s="8" t="n">
        <f aca="false">IFERROR('Start-Class Minutes'!G43/'Start-Class Minutes'!$K43,0)</f>
        <v>0.0963371801304566</v>
      </c>
      <c r="H44" s="8" t="n">
        <f aca="false">IFERROR('Start-Class Minutes'!H43/'Start-Class Minutes'!$K43,0)</f>
        <v>0.0120421475163071</v>
      </c>
      <c r="I44" s="8" t="n">
        <f aca="false">IFERROR('Start-Class Minutes'!I43/'Start-Class Minutes'!$K43,0)</f>
        <v>0.0240842950326142</v>
      </c>
      <c r="J44" s="8" t="n">
        <f aca="false">IFERROR('Start-Class Minutes'!J43/'Start-Class Minutes'!$K43,0)</f>
        <v>0.13371801304566</v>
      </c>
    </row>
    <row r="45" customFormat="false" ht="15" hidden="false" customHeight="false" outlineLevel="0" collapsed="false">
      <c r="A45" s="7" t="s">
        <v>43</v>
      </c>
      <c r="B45" s="7" t="s">
        <v>56</v>
      </c>
      <c r="C45" s="8" t="n">
        <f aca="false">IFERROR('Start-Class Minutes'!C44/'Start-Class Minutes'!$K44,0)</f>
        <v>0.379929221435794</v>
      </c>
      <c r="D45" s="8" t="n">
        <f aca="false">IFERROR('Start-Class Minutes'!D44/'Start-Class Minutes'!$K44,0)</f>
        <v>0.424671385237614</v>
      </c>
      <c r="E45" s="8" t="n">
        <f aca="false">IFERROR('Start-Class Minutes'!E44/'Start-Class Minutes'!$K44,0)</f>
        <v>0.0849342770475228</v>
      </c>
      <c r="F45" s="8" t="n">
        <f aca="false">IFERROR('Start-Class Minutes'!F44/'Start-Class Minutes'!$K44,0)</f>
        <v>0.0364004044489383</v>
      </c>
      <c r="G45" s="8" t="n">
        <f aca="false">IFERROR('Start-Class Minutes'!G44/'Start-Class Minutes'!$K44,0)</f>
        <v>0</v>
      </c>
      <c r="H45" s="8" t="n">
        <f aca="false">IFERROR('Start-Class Minutes'!H44/'Start-Class Minutes'!$K44,0)</f>
        <v>0</v>
      </c>
      <c r="I45" s="8" t="n">
        <f aca="false">IFERROR('Start-Class Minutes'!I44/'Start-Class Minutes'!$K44,0)</f>
        <v>0.0242669362992922</v>
      </c>
      <c r="J45" s="8" t="n">
        <f aca="false">IFERROR('Start-Class Minutes'!J44/'Start-Class Minutes'!$K44,0)</f>
        <v>0.0497977755308392</v>
      </c>
    </row>
    <row r="46" customFormat="false" ht="15" hidden="false" customHeight="false" outlineLevel="0" collapsed="false">
      <c r="A46" s="7" t="s">
        <v>45</v>
      </c>
      <c r="B46" s="7" t="s">
        <v>56</v>
      </c>
      <c r="C46" s="8" t="n">
        <f aca="false">IFERROR('Start-Class Minutes'!C45/'Start-Class Minutes'!$K45,0)</f>
        <v>0.0605907599091139</v>
      </c>
      <c r="D46" s="8" t="n">
        <f aca="false">IFERROR('Start-Class Minutes'!D45/'Start-Class Minutes'!$K45,0)</f>
        <v>0.539510224690735</v>
      </c>
      <c r="E46" s="8" t="n">
        <f aca="false">IFERROR('Start-Class Minutes'!E45/'Start-Class Minutes'!$K45,0)</f>
        <v>0.0363544559454683</v>
      </c>
      <c r="F46" s="8" t="n">
        <f aca="false">IFERROR('Start-Class Minutes'!F45/'Start-Class Minutes'!$K45,0)</f>
        <v>0.169654127745519</v>
      </c>
      <c r="G46" s="8" t="n">
        <f aca="false">IFERROR('Start-Class Minutes'!G45/'Start-Class Minutes'!$K45,0)</f>
        <v>0.0605907599091139</v>
      </c>
      <c r="H46" s="8" t="n">
        <f aca="false">IFERROR('Start-Class Minutes'!H45/'Start-Class Minutes'!$K45,0)</f>
        <v>0</v>
      </c>
      <c r="I46" s="8" t="n">
        <f aca="false">IFERROR('Start-Class Minutes'!I45/'Start-Class Minutes'!$K45,0)</f>
        <v>0.0242363039636455</v>
      </c>
      <c r="J46" s="8" t="n">
        <f aca="false">IFERROR('Start-Class Minutes'!J45/'Start-Class Minutes'!$K45,0)</f>
        <v>0.109063367836405</v>
      </c>
    </row>
    <row r="47" customFormat="false" ht="15" hidden="false" customHeight="false" outlineLevel="0" collapsed="false">
      <c r="A47" s="7" t="s">
        <v>46</v>
      </c>
      <c r="B47" s="7" t="s">
        <v>56</v>
      </c>
      <c r="C47" s="8" t="n">
        <f aca="false">IFERROR('Start-Class Minutes'!C46/'Start-Class Minutes'!$K46,0)</f>
        <v>0.328018223234624</v>
      </c>
      <c r="D47" s="8" t="n">
        <f aca="false">IFERROR('Start-Class Minutes'!D46/'Start-Class Minutes'!$K46,0)</f>
        <v>0.183497848645912</v>
      </c>
      <c r="E47" s="8" t="n">
        <f aca="false">IFERROR('Start-Class Minutes'!E46/'Start-Class Minutes'!$K46,0)</f>
        <v>0.306251581878006</v>
      </c>
      <c r="F47" s="8" t="n">
        <f aca="false">IFERROR('Start-Class Minutes'!F46/'Start-Class Minutes'!$K46,0)</f>
        <v>0</v>
      </c>
      <c r="G47" s="8" t="n">
        <f aca="false">IFERROR('Start-Class Minutes'!G46/'Start-Class Minutes'!$K46,0)</f>
        <v>0</v>
      </c>
      <c r="H47" s="8" t="n">
        <f aca="false">IFERROR('Start-Class Minutes'!H46/'Start-Class Minutes'!$K46,0)</f>
        <v>0.0364464692482916</v>
      </c>
      <c r="I47" s="8" t="n">
        <f aca="false">IFERROR('Start-Class Minutes'!I46/'Start-Class Minutes'!$K46,0)</f>
        <v>0.0121488230827639</v>
      </c>
      <c r="J47" s="8" t="n">
        <f aca="false">IFERROR('Start-Class Minutes'!J46/'Start-Class Minutes'!$K46,0)</f>
        <v>0.133637053910402</v>
      </c>
    </row>
    <row r="48" customFormat="false" ht="15" hidden="false" customHeight="false" outlineLevel="0" collapsed="false">
      <c r="A48" s="7" t="s">
        <v>47</v>
      </c>
      <c r="B48" s="7" t="s">
        <v>56</v>
      </c>
      <c r="C48" s="8" t="n">
        <f aca="false">IFERROR('Start-Class Minutes'!C47/'Start-Class Minutes'!$K47,0)</f>
        <v>0.669022973996466</v>
      </c>
      <c r="D48" s="8" t="n">
        <f aca="false">IFERROR('Start-Class Minutes'!D47/'Start-Class Minutes'!$K47,0)</f>
        <v>0.231507195152739</v>
      </c>
      <c r="E48" s="8" t="n">
        <f aca="false">IFERROR('Start-Class Minutes'!E47/'Start-Class Minutes'!$K47,0)</f>
        <v>0.0121181519818228</v>
      </c>
      <c r="F48" s="8" t="n">
        <f aca="false">IFERROR('Start-Class Minutes'!F47/'Start-Class Minutes'!$K47,0)</f>
        <v>0.0739712193890432</v>
      </c>
      <c r="G48" s="8" t="n">
        <f aca="false">IFERROR('Start-Class Minutes'!G47/'Start-Class Minutes'!$K47,0)</f>
        <v>0.0133804594799293</v>
      </c>
      <c r="H48" s="8" t="n">
        <f aca="false">IFERROR('Start-Class Minutes'!H47/'Start-Class Minutes'!$K47,0)</f>
        <v>0</v>
      </c>
      <c r="I48" s="8" t="n">
        <f aca="false">IFERROR('Start-Class Minutes'!I47/'Start-Class Minutes'!$K47,0)</f>
        <v>0</v>
      </c>
      <c r="J48" s="8" t="n">
        <f aca="false">IFERROR('Start-Class Minutes'!J47/'Start-Class Minutes'!$K47,0)</f>
        <v>0</v>
      </c>
    </row>
    <row r="49" customFormat="false" ht="15" hidden="false" customHeight="false" outlineLevel="0" collapsed="false">
      <c r="A49" s="7" t="s">
        <v>48</v>
      </c>
      <c r="B49" s="7" t="s">
        <v>56</v>
      </c>
      <c r="C49" s="8" t="n">
        <f aca="false">IFERROR('Start-Class Minutes'!C48/'Start-Class Minutes'!$K48,0)</f>
        <v>0.51148699823277</v>
      </c>
      <c r="D49" s="8" t="n">
        <f aca="false">IFERROR('Start-Class Minutes'!D48/'Start-Class Minutes'!$K48,0)</f>
        <v>0.243625347134562</v>
      </c>
      <c r="E49" s="8" t="n">
        <f aca="false">IFERROR('Start-Class Minutes'!E48/'Start-Class Minutes'!$K48,0)</f>
        <v>0.0727089118909366</v>
      </c>
      <c r="F49" s="8" t="n">
        <f aca="false">IFERROR('Start-Class Minutes'!F48/'Start-Class Minutes'!$K48,0)</f>
        <v>0.0254986114617521</v>
      </c>
      <c r="G49" s="8" t="n">
        <f aca="false">IFERROR('Start-Class Minutes'!G48/'Start-Class Minutes'!$K48,0)</f>
        <v>0.0605907599091139</v>
      </c>
      <c r="H49" s="8" t="n">
        <f aca="false">IFERROR('Start-Class Minutes'!H48/'Start-Class Minutes'!$K48,0)</f>
        <v>0</v>
      </c>
      <c r="I49" s="8" t="n">
        <f aca="false">IFERROR('Start-Class Minutes'!I48/'Start-Class Minutes'!$K48,0)</f>
        <v>0</v>
      </c>
      <c r="J49" s="8" t="n">
        <f aca="false">IFERROR('Start-Class Minutes'!J48/'Start-Class Minutes'!$K48,0)</f>
        <v>0.086089371370866</v>
      </c>
    </row>
    <row r="50" customFormat="false" ht="15" hidden="false" customHeight="false" outlineLevel="0" collapsed="false">
      <c r="A50" s="7" t="s">
        <v>43</v>
      </c>
      <c r="B50" s="7" t="s">
        <v>57</v>
      </c>
      <c r="C50" s="8" t="n">
        <f aca="false">IFERROR('Start-Class Minutes'!C49/'Start-Class Minutes'!$K49,0)</f>
        <v>0.414850481500253</v>
      </c>
      <c r="D50" s="8" t="n">
        <f aca="false">IFERROR('Start-Class Minutes'!D49/'Start-Class Minutes'!$K49,0)</f>
        <v>0.341865179929042</v>
      </c>
      <c r="E50" s="8" t="n">
        <f aca="false">IFERROR('Start-Class Minutes'!E49/'Start-Class Minutes'!$K49,0)</f>
        <v>0.0729853015712114</v>
      </c>
      <c r="F50" s="8" t="n">
        <f aca="false">IFERROR('Start-Class Minutes'!F49/'Start-Class Minutes'!$K49,0)</f>
        <v>0.0973137354282818</v>
      </c>
      <c r="G50" s="8" t="n">
        <f aca="false">IFERROR('Start-Class Minutes'!G49/'Start-Class Minutes'!$K49,0)</f>
        <v>0.0364926507856057</v>
      </c>
      <c r="H50" s="8" t="n">
        <f aca="false">IFERROR('Start-Class Minutes'!H49/'Start-Class Minutes'!$K49,0)</f>
        <v>0</v>
      </c>
      <c r="I50" s="8" t="n">
        <f aca="false">IFERROR('Start-Class Minutes'!I49/'Start-Class Minutes'!$K49,0)</f>
        <v>0</v>
      </c>
      <c r="J50" s="8" t="n">
        <f aca="false">IFERROR('Start-Class Minutes'!J49/'Start-Class Minutes'!$K49,0)</f>
        <v>0.0364926507856057</v>
      </c>
    </row>
    <row r="51" customFormat="false" ht="15" hidden="false" customHeight="false" outlineLevel="0" collapsed="false">
      <c r="A51" s="7" t="s">
        <v>45</v>
      </c>
      <c r="B51" s="7" t="s">
        <v>57</v>
      </c>
      <c r="C51" s="8" t="n">
        <f aca="false">IFERROR('Start-Class Minutes'!C50/'Start-Class Minutes'!$K50,0)</f>
        <v>0.279626828038326</v>
      </c>
      <c r="D51" s="8" t="n">
        <f aca="false">IFERROR('Start-Class Minutes'!D50/'Start-Class Minutes'!$K50,0)</f>
        <v>0.330559757942511</v>
      </c>
      <c r="E51" s="8" t="n">
        <f aca="false">IFERROR('Start-Class Minutes'!E50/'Start-Class Minutes'!$K50,0)</f>
        <v>0</v>
      </c>
      <c r="F51" s="8" t="n">
        <f aca="false">IFERROR('Start-Class Minutes'!F50/'Start-Class Minutes'!$K50,0)</f>
        <v>0.24457892082703</v>
      </c>
      <c r="G51" s="8" t="n">
        <f aca="false">IFERROR('Start-Class Minutes'!G50/'Start-Class Minutes'!$K50,0)</f>
        <v>0.0121028744326778</v>
      </c>
      <c r="H51" s="8" t="n">
        <f aca="false">IFERROR('Start-Class Minutes'!H50/'Start-Class Minutes'!$K50,0)</f>
        <v>0</v>
      </c>
      <c r="I51" s="8" t="n">
        <f aca="false">IFERROR('Start-Class Minutes'!I50/'Start-Class Minutes'!$K50,0)</f>
        <v>0</v>
      </c>
      <c r="J51" s="8" t="n">
        <f aca="false">IFERROR('Start-Class Minutes'!J50/'Start-Class Minutes'!$K50,0)</f>
        <v>0.133131618759455</v>
      </c>
    </row>
    <row r="52" customFormat="false" ht="15" hidden="false" customHeight="false" outlineLevel="0" collapsed="false">
      <c r="A52" s="7" t="s">
        <v>46</v>
      </c>
      <c r="B52" s="7" t="s">
        <v>57</v>
      </c>
      <c r="C52" s="8" t="n">
        <f aca="false">IFERROR('Start-Class Minutes'!C51/'Start-Class Minutes'!$K51,0)</f>
        <v>0.100605143721634</v>
      </c>
      <c r="D52" s="8" t="n">
        <f aca="false">IFERROR('Start-Class Minutes'!D51/'Start-Class Minutes'!$K51,0)</f>
        <v>0.424861321230459</v>
      </c>
      <c r="E52" s="8" t="n">
        <f aca="false">IFERROR('Start-Class Minutes'!E51/'Start-Class Minutes'!$K51,0)</f>
        <v>0</v>
      </c>
      <c r="F52" s="8" t="n">
        <f aca="false">IFERROR('Start-Class Minutes'!F51/'Start-Class Minutes'!$K51,0)</f>
        <v>0.341401916288452</v>
      </c>
      <c r="G52" s="8" t="n">
        <f aca="false">IFERROR('Start-Class Minutes'!G51/'Start-Class Minutes'!$K51,0)</f>
        <v>0.0968229954614221</v>
      </c>
      <c r="H52" s="8" t="n">
        <f aca="false">IFERROR('Start-Class Minutes'!H51/'Start-Class Minutes'!$K51,0)</f>
        <v>0</v>
      </c>
      <c r="I52" s="8" t="n">
        <f aca="false">IFERROR('Start-Class Minutes'!I51/'Start-Class Minutes'!$K51,0)</f>
        <v>0</v>
      </c>
      <c r="J52" s="8" t="n">
        <f aca="false">IFERROR('Start-Class Minutes'!J51/'Start-Class Minutes'!$K51,0)</f>
        <v>0.0363086232980333</v>
      </c>
    </row>
    <row r="53" customFormat="false" ht="15" hidden="false" customHeight="false" outlineLevel="0" collapsed="false">
      <c r="A53" s="7" t="s">
        <v>47</v>
      </c>
      <c r="B53" s="7" t="s">
        <v>57</v>
      </c>
      <c r="C53" s="8" t="n">
        <f aca="false">IFERROR('Start-Class Minutes'!C52/'Start-Class Minutes'!$K52,0)</f>
        <v>0</v>
      </c>
      <c r="D53" s="8" t="n">
        <f aca="false">IFERROR('Start-Class Minutes'!D52/'Start-Class Minutes'!$K52,0)</f>
        <v>0.0121642169285352</v>
      </c>
      <c r="E53" s="8" t="n">
        <f aca="false">IFERROR('Start-Class Minutes'!E52/'Start-Class Minutes'!$K52,0)</f>
        <v>0.0973137354282818</v>
      </c>
      <c r="F53" s="8" t="n">
        <f aca="false">IFERROR('Start-Class Minutes'!F52/'Start-Class Minutes'!$K52,0)</f>
        <v>0.24455144450076</v>
      </c>
      <c r="G53" s="8" t="n">
        <f aca="false">IFERROR('Start-Class Minutes'!G52/'Start-Class Minutes'!$K52,0)</f>
        <v>0.25544855549924</v>
      </c>
      <c r="H53" s="8" t="n">
        <f aca="false">IFERROR('Start-Class Minutes'!H52/'Start-Class Minutes'!$K52,0)</f>
        <v>0.0973137354282818</v>
      </c>
      <c r="I53" s="8" t="n">
        <f aca="false">IFERROR('Start-Class Minutes'!I52/'Start-Class Minutes'!$K52,0)</f>
        <v>0</v>
      </c>
      <c r="J53" s="8" t="n">
        <f aca="false">IFERROR('Start-Class Minutes'!J52/'Start-Class Minutes'!$K52,0)</f>
        <v>0.293208312214901</v>
      </c>
    </row>
    <row r="54" customFormat="false" ht="15" hidden="false" customHeight="false" outlineLevel="0" collapsed="false">
      <c r="A54" s="7" t="s">
        <v>48</v>
      </c>
      <c r="B54" s="7" t="s">
        <v>57</v>
      </c>
      <c r="C54" s="8" t="n">
        <f aca="false">IFERROR('Start-Class Minutes'!C53/'Start-Class Minutes'!$K53,0)</f>
        <v>0</v>
      </c>
      <c r="D54" s="8" t="n">
        <f aca="false">IFERROR('Start-Class Minutes'!D53/'Start-Class Minutes'!$K53,0)</f>
        <v>0.255743499116385</v>
      </c>
      <c r="E54" s="8" t="n">
        <f aca="false">IFERROR('Start-Class Minutes'!E53/'Start-Class Minutes'!$K53,0)</f>
        <v>0</v>
      </c>
      <c r="F54" s="8" t="n">
        <f aca="false">IFERROR('Start-Class Minutes'!F53/'Start-Class Minutes'!$K53,0)</f>
        <v>0.14668013127998</v>
      </c>
      <c r="G54" s="8" t="n">
        <f aca="false">IFERROR('Start-Class Minutes'!G53/'Start-Class Minutes'!$K53,0)</f>
        <v>0.122443827316334</v>
      </c>
      <c r="H54" s="8" t="n">
        <f aca="false">IFERROR('Start-Class Minutes'!H53/'Start-Class Minutes'!$K53,0)</f>
        <v>0</v>
      </c>
      <c r="I54" s="8" t="n">
        <f aca="false">IFERROR('Start-Class Minutes'!I53/'Start-Class Minutes'!$K53,0)</f>
        <v>0</v>
      </c>
      <c r="J54" s="8" t="n">
        <f aca="false">IFERROR('Start-Class Minutes'!J53/'Start-Class Minutes'!$K53,0)</f>
        <v>0.475132542287301</v>
      </c>
    </row>
    <row r="55" customFormat="false" ht="15" hidden="false" customHeight="false" outlineLevel="0" collapsed="false">
      <c r="A55" s="7" t="s">
        <v>43</v>
      </c>
      <c r="B55" s="7" t="s">
        <v>58</v>
      </c>
      <c r="C55" s="8" t="n">
        <f aca="false">IFERROR('Start-Class Minutes'!C54/'Start-Class Minutes'!$K54,0)</f>
        <v>0.242976461655277</v>
      </c>
      <c r="D55" s="8" t="n">
        <f aca="false">IFERROR('Start-Class Minutes'!D54/'Start-Class Minutes'!$K54,0)</f>
        <v>0.085041761579347</v>
      </c>
      <c r="E55" s="8" t="n">
        <f aca="false">IFERROR('Start-Class Minutes'!E54/'Start-Class Minutes'!$K54,0)</f>
        <v>0.366995697291825</v>
      </c>
      <c r="F55" s="8" t="n">
        <f aca="false">IFERROR('Start-Class Minutes'!F54/'Start-Class Minutes'!$K54,0)</f>
        <v>0.0377119716527461</v>
      </c>
      <c r="G55" s="8" t="n">
        <f aca="false">IFERROR('Start-Class Minutes'!G54/'Start-Class Minutes'!$K54,0)</f>
        <v>0.15793470007593</v>
      </c>
      <c r="H55" s="8" t="n">
        <f aca="false">IFERROR('Start-Class Minutes'!H54/'Start-Class Minutes'!$K54,0)</f>
        <v>0.0607441154138193</v>
      </c>
      <c r="I55" s="8" t="n">
        <f aca="false">IFERROR('Start-Class Minutes'!I54/'Start-Class Minutes'!$K54,0)</f>
        <v>0</v>
      </c>
      <c r="J55" s="8" t="n">
        <f aca="false">IFERROR('Start-Class Minutes'!J54/'Start-Class Minutes'!$K54,0)</f>
        <v>0.0485952923310554</v>
      </c>
    </row>
    <row r="56" customFormat="false" ht="15" hidden="false" customHeight="false" outlineLevel="0" collapsed="false">
      <c r="A56" s="7" t="s">
        <v>45</v>
      </c>
      <c r="B56" s="7" t="s">
        <v>58</v>
      </c>
      <c r="C56" s="8" t="n">
        <f aca="false">IFERROR('Start-Class Minutes'!C55/'Start-Class Minutes'!$K55,0)</f>
        <v>0.695013920526449</v>
      </c>
      <c r="D56" s="8" t="n">
        <f aca="false">IFERROR('Start-Class Minutes'!D55/'Start-Class Minutes'!$K55,0)</f>
        <v>0.121488230827639</v>
      </c>
      <c r="E56" s="8" t="n">
        <f aca="false">IFERROR('Start-Class Minutes'!E55/'Start-Class Minutes'!$K55,0)</f>
        <v>0.147051379397621</v>
      </c>
      <c r="F56" s="8" t="n">
        <f aca="false">IFERROR('Start-Class Minutes'!F55/'Start-Class Minutes'!$K55,0)</f>
        <v>0</v>
      </c>
      <c r="G56" s="8" t="n">
        <f aca="false">IFERROR('Start-Class Minutes'!G55/'Start-Class Minutes'!$K55,0)</f>
        <v>0.0364464692482916</v>
      </c>
      <c r="H56" s="8" t="n">
        <f aca="false">IFERROR('Start-Class Minutes'!H55/'Start-Class Minutes'!$K55,0)</f>
        <v>0</v>
      </c>
      <c r="I56" s="8" t="n">
        <f aca="false">IFERROR('Start-Class Minutes'!I55/'Start-Class Minutes'!$K55,0)</f>
        <v>0</v>
      </c>
      <c r="J56" s="8" t="n">
        <f aca="false">IFERROR('Start-Class Minutes'!J55/'Start-Class Minutes'!$K55,0)</f>
        <v>0</v>
      </c>
    </row>
    <row r="57" customFormat="false" ht="15" hidden="false" customHeight="false" outlineLevel="0" collapsed="false">
      <c r="A57" s="7" t="s">
        <v>46</v>
      </c>
      <c r="B57" s="7" t="s">
        <v>58</v>
      </c>
      <c r="C57" s="8" t="n">
        <f aca="false">IFERROR('Start-Class Minutes'!C56/'Start-Class Minutes'!$K56,0)</f>
        <v>0.547720977083858</v>
      </c>
      <c r="D57" s="8" t="n">
        <f aca="false">IFERROR('Start-Class Minutes'!D56/'Start-Class Minutes'!$K56,0)</f>
        <v>0.379753210778142</v>
      </c>
      <c r="E57" s="8" t="n">
        <f aca="false">IFERROR('Start-Class Minutes'!E56/'Start-Class Minutes'!$K56,0)</f>
        <v>0</v>
      </c>
      <c r="F57" s="8" t="n">
        <f aca="false">IFERROR('Start-Class Minutes'!F56/'Start-Class Minutes'!$K56,0)</f>
        <v>0.0241752707126668</v>
      </c>
      <c r="G57" s="8" t="n">
        <f aca="false">IFERROR('Start-Class Minutes'!G56/'Start-Class Minutes'!$K56,0)</f>
        <v>0.0362629060690003</v>
      </c>
      <c r="H57" s="8" t="n">
        <f aca="false">IFERROR('Start-Class Minutes'!H56/'Start-Class Minutes'!$K56,0)</f>
        <v>0</v>
      </c>
      <c r="I57" s="8" t="n">
        <f aca="false">IFERROR('Start-Class Minutes'!I56/'Start-Class Minutes'!$K56,0)</f>
        <v>0</v>
      </c>
      <c r="J57" s="8" t="n">
        <f aca="false">IFERROR('Start-Class Minutes'!J56/'Start-Class Minutes'!$K56,0)</f>
        <v>0.0120876353563334</v>
      </c>
    </row>
    <row r="58" customFormat="false" ht="15" hidden="false" customHeight="false" outlineLevel="0" collapsed="false">
      <c r="A58" s="7" t="s">
        <v>47</v>
      </c>
      <c r="B58" s="7" t="s">
        <v>58</v>
      </c>
      <c r="C58" s="8" t="n">
        <f aca="false">IFERROR('Start-Class Minutes'!C57/'Start-Class Minutes'!$K57,0)</f>
        <v>0.6711324570273</v>
      </c>
      <c r="D58" s="8" t="n">
        <f aca="false">IFERROR('Start-Class Minutes'!D57/'Start-Class Minutes'!$K57,0)</f>
        <v>0.207532861476239</v>
      </c>
      <c r="E58" s="8" t="n">
        <f aca="false">IFERROR('Start-Class Minutes'!E57/'Start-Class Minutes'!$K57,0)</f>
        <v>0.0728008088978766</v>
      </c>
      <c r="F58" s="8" t="n">
        <f aca="false">IFERROR('Start-Class Minutes'!F57/'Start-Class Minutes'!$K57,0)</f>
        <v>0</v>
      </c>
      <c r="G58" s="8" t="n">
        <f aca="false">IFERROR('Start-Class Minutes'!G57/'Start-Class Minutes'!$K57,0)</f>
        <v>0.0121334681496461</v>
      </c>
      <c r="H58" s="8" t="n">
        <f aca="false">IFERROR('Start-Class Minutes'!H57/'Start-Class Minutes'!$K57,0)</f>
        <v>0</v>
      </c>
      <c r="I58" s="8" t="n">
        <f aca="false">IFERROR('Start-Class Minutes'!I57/'Start-Class Minutes'!$K57,0)</f>
        <v>0</v>
      </c>
      <c r="J58" s="8" t="n">
        <f aca="false">IFERROR('Start-Class Minutes'!J57/'Start-Class Minutes'!$K57,0)</f>
        <v>0.0364004044489383</v>
      </c>
    </row>
    <row r="59" customFormat="false" ht="15" hidden="false" customHeight="false" outlineLevel="0" collapsed="false">
      <c r="A59" s="7" t="s">
        <v>48</v>
      </c>
      <c r="B59" s="7" t="s">
        <v>58</v>
      </c>
      <c r="C59" s="8" t="n">
        <f aca="false">IFERROR('Start-Class Minutes'!C58/'Start-Class Minutes'!$K58,0)</f>
        <v>0</v>
      </c>
      <c r="D59" s="8" t="n">
        <f aca="false">IFERROR('Start-Class Minutes'!D58/'Start-Class Minutes'!$K58,0)</f>
        <v>0.758854559155991</v>
      </c>
      <c r="E59" s="8" t="n">
        <f aca="false">IFERROR('Start-Class Minutes'!E58/'Start-Class Minutes'!$K58,0)</f>
        <v>0.0120572720422005</v>
      </c>
      <c r="F59" s="8" t="n">
        <f aca="false">IFERROR('Start-Class Minutes'!F58/'Start-Class Minutes'!$K58,0)</f>
        <v>0.204973624717408</v>
      </c>
      <c r="G59" s="8" t="n">
        <f aca="false">IFERROR('Start-Class Minutes'!G58/'Start-Class Minutes'!$K58,0)</f>
        <v>0.0120572720422005</v>
      </c>
      <c r="H59" s="8" t="n">
        <f aca="false">IFERROR('Start-Class Minutes'!H58/'Start-Class Minutes'!$K58,0)</f>
        <v>0</v>
      </c>
      <c r="I59" s="8" t="n">
        <f aca="false">IFERROR('Start-Class Minutes'!I58/'Start-Class Minutes'!$K58,0)</f>
        <v>0</v>
      </c>
      <c r="J59" s="8" t="n">
        <f aca="false">IFERROR('Start-Class Minutes'!J58/'Start-Class Minutes'!$K58,0)</f>
        <v>0.0120572720422005</v>
      </c>
    </row>
    <row r="60" customFormat="false" ht="15" hidden="false" customHeight="false" outlineLevel="0" collapsed="false">
      <c r="A60" s="7" t="s">
        <v>43</v>
      </c>
      <c r="B60" s="7" t="s">
        <v>59</v>
      </c>
      <c r="C60" s="8" t="n">
        <f aca="false">IFERROR('Start-Class Minutes'!C59/'Start-Class Minutes'!$K59,0)</f>
        <v>0.0241448692152918</v>
      </c>
      <c r="D60" s="8" t="n">
        <f aca="false">IFERROR('Start-Class Minutes'!D59/'Start-Class Minutes'!$K59,0)</f>
        <v>0.0978370221327968</v>
      </c>
      <c r="E60" s="8" t="n">
        <f aca="false">IFERROR('Start-Class Minutes'!E59/'Start-Class Minutes'!$K59,0)</f>
        <v>0.329728370221328</v>
      </c>
      <c r="F60" s="8" t="n">
        <f aca="false">IFERROR('Start-Class Minutes'!F59/'Start-Class Minutes'!$K59,0)</f>
        <v>0.0362173038229376</v>
      </c>
      <c r="G60" s="8" t="n">
        <f aca="false">IFERROR('Start-Class Minutes'!G59/'Start-Class Minutes'!$K59,0)</f>
        <v>0.132796780684105</v>
      </c>
      <c r="H60" s="8" t="n">
        <f aca="false">IFERROR('Start-Class Minutes'!H59/'Start-Class Minutes'!$K59,0)</f>
        <v>0.0616197183098592</v>
      </c>
      <c r="I60" s="8" t="n">
        <f aca="false">IFERROR('Start-Class Minutes'!I59/'Start-Class Minutes'!$K59,0)</f>
        <v>0</v>
      </c>
      <c r="J60" s="8" t="n">
        <f aca="false">IFERROR('Start-Class Minutes'!J59/'Start-Class Minutes'!$K59,0)</f>
        <v>0.317655935613682</v>
      </c>
    </row>
    <row r="61" customFormat="false" ht="15" hidden="false" customHeight="false" outlineLevel="0" collapsed="false">
      <c r="A61" s="7" t="s">
        <v>45</v>
      </c>
      <c r="B61" s="7" t="s">
        <v>59</v>
      </c>
      <c r="C61" s="8" t="n">
        <f aca="false">IFERROR('Start-Class Minutes'!C60/'Start-Class Minutes'!$K60,0)</f>
        <v>0.283219438116932</v>
      </c>
      <c r="D61" s="8" t="n">
        <f aca="false">IFERROR('Start-Class Minutes'!D60/'Start-Class Minutes'!$K60,0)</f>
        <v>0.364464692482916</v>
      </c>
      <c r="E61" s="8" t="n">
        <f aca="false">IFERROR('Start-Class Minutes'!E60/'Start-Class Minutes'!$K60,0)</f>
        <v>0.0364464692482916</v>
      </c>
      <c r="F61" s="8" t="n">
        <f aca="false">IFERROR('Start-Class Minutes'!F60/'Start-Class Minutes'!$K60,0)</f>
        <v>0.085041761579347</v>
      </c>
      <c r="G61" s="8" t="n">
        <f aca="false">IFERROR('Start-Class Minutes'!G60/'Start-Class Minutes'!$K60,0)</f>
        <v>0.0971905846621109</v>
      </c>
      <c r="H61" s="8" t="n">
        <f aca="false">IFERROR('Start-Class Minutes'!H60/'Start-Class Minutes'!$K60,0)</f>
        <v>0</v>
      </c>
      <c r="I61" s="8" t="n">
        <f aca="false">IFERROR('Start-Class Minutes'!I60/'Start-Class Minutes'!$K60,0)</f>
        <v>0</v>
      </c>
      <c r="J61" s="8" t="n">
        <f aca="false">IFERROR('Start-Class Minutes'!J60/'Start-Class Minutes'!$K60,0)</f>
        <v>0.133637053910402</v>
      </c>
    </row>
    <row r="62" customFormat="false" ht="15" hidden="false" customHeight="false" outlineLevel="0" collapsed="false">
      <c r="A62" s="7" t="s">
        <v>46</v>
      </c>
      <c r="B62" s="7" t="s">
        <v>59</v>
      </c>
      <c r="C62" s="8" t="n">
        <f aca="false">IFERROR('Start-Class Minutes'!C61/'Start-Class Minutes'!$K61,0)</f>
        <v>0.305759959401167</v>
      </c>
      <c r="D62" s="8" t="n">
        <f aca="false">IFERROR('Start-Class Minutes'!D61/'Start-Class Minutes'!$K61,0)</f>
        <v>0.255772646536412</v>
      </c>
      <c r="E62" s="8" t="n">
        <f aca="false">IFERROR('Start-Class Minutes'!E61/'Start-Class Minutes'!$K61,0)</f>
        <v>0.0243592996701345</v>
      </c>
      <c r="F62" s="8" t="n">
        <f aca="false">IFERROR('Start-Class Minutes'!F61/'Start-Class Minutes'!$K61,0)</f>
        <v>0.35320984521695</v>
      </c>
      <c r="G62" s="8" t="n">
        <f aca="false">IFERROR('Start-Class Minutes'!G61/'Start-Class Minutes'!$K61,0)</f>
        <v>0</v>
      </c>
      <c r="H62" s="8" t="n">
        <f aca="false">IFERROR('Start-Class Minutes'!H61/'Start-Class Minutes'!$K61,0)</f>
        <v>0</v>
      </c>
      <c r="I62" s="8" t="n">
        <f aca="false">IFERROR('Start-Class Minutes'!I61/'Start-Class Minutes'!$K61,0)</f>
        <v>0</v>
      </c>
      <c r="J62" s="8" t="n">
        <f aca="false">IFERROR('Start-Class Minutes'!J61/'Start-Class Minutes'!$K61,0)</f>
        <v>0.0608982491753362</v>
      </c>
    </row>
    <row r="63" customFormat="false" ht="15" hidden="false" customHeight="false" outlineLevel="0" collapsed="false">
      <c r="A63" s="7" t="s">
        <v>47</v>
      </c>
      <c r="B63" s="7" t="s">
        <v>59</v>
      </c>
      <c r="C63" s="8" t="n">
        <f aca="false">IFERROR('Start-Class Minutes'!C62/'Start-Class Minutes'!$K62,0)</f>
        <v>0.643162931251574</v>
      </c>
      <c r="D63" s="8" t="n">
        <f aca="false">IFERROR('Start-Class Minutes'!D62/'Start-Class Minutes'!$K62,0)</f>
        <v>0.206748929740619</v>
      </c>
      <c r="E63" s="8" t="n">
        <f aca="false">IFERROR('Start-Class Minutes'!E62/'Start-Class Minutes'!$K62,0)</f>
        <v>0.0979602115336187</v>
      </c>
      <c r="F63" s="8" t="n">
        <f aca="false">IFERROR('Start-Class Minutes'!F62/'Start-Class Minutes'!$K62,0)</f>
        <v>0.0146058927222362</v>
      </c>
      <c r="G63" s="8" t="n">
        <f aca="false">IFERROR('Start-Class Minutes'!G62/'Start-Class Minutes'!$K62,0)</f>
        <v>0</v>
      </c>
      <c r="H63" s="8" t="n">
        <f aca="false">IFERROR('Start-Class Minutes'!H62/'Start-Class Minutes'!$K62,0)</f>
        <v>0</v>
      </c>
      <c r="I63" s="8" t="n">
        <f aca="false">IFERROR('Start-Class Minutes'!I62/'Start-Class Minutes'!$K62,0)</f>
        <v>0.0120876353563334</v>
      </c>
      <c r="J63" s="8" t="n">
        <f aca="false">IFERROR('Start-Class Minutes'!J62/'Start-Class Minutes'!$K62,0)</f>
        <v>0.0254343993956182</v>
      </c>
    </row>
    <row r="64" customFormat="false" ht="15" hidden="false" customHeight="false" outlineLevel="0" collapsed="false">
      <c r="A64" s="7" t="s">
        <v>48</v>
      </c>
      <c r="B64" s="7" t="s">
        <v>59</v>
      </c>
      <c r="C64" s="8" t="n">
        <f aca="false">IFERROR('Start-Class Minutes'!C63/'Start-Class Minutes'!$K63,0)</f>
        <v>0</v>
      </c>
      <c r="D64" s="8" t="n">
        <f aca="false">IFERROR('Start-Class Minutes'!D63/'Start-Class Minutes'!$K63,0)</f>
        <v>0.233358643381422</v>
      </c>
      <c r="E64" s="8" t="n">
        <f aca="false">IFERROR('Start-Class Minutes'!E63/'Start-Class Minutes'!$K63,0)</f>
        <v>0.0121488230827639</v>
      </c>
      <c r="F64" s="8" t="n">
        <f aca="false">IFERROR('Start-Class Minutes'!F63/'Start-Class Minutes'!$K63,0)</f>
        <v>0.218678815489749</v>
      </c>
      <c r="G64" s="8" t="n">
        <f aca="false">IFERROR('Start-Class Minutes'!G63/'Start-Class Minutes'!$K63,0)</f>
        <v>0.147051379397621</v>
      </c>
      <c r="H64" s="8" t="n">
        <f aca="false">IFERROR('Start-Class Minutes'!H63/'Start-Class Minutes'!$K63,0)</f>
        <v>0</v>
      </c>
      <c r="I64" s="8" t="n">
        <f aca="false">IFERROR('Start-Class Minutes'!I63/'Start-Class Minutes'!$K63,0)</f>
        <v>0</v>
      </c>
      <c r="J64" s="8" t="n">
        <f aca="false">IFERROR('Start-Class Minutes'!J63/'Start-Class Minutes'!$K63,0)</f>
        <v>0.388762338648443</v>
      </c>
    </row>
    <row r="65" customFormat="false" ht="15" hidden="false" customHeight="false" outlineLevel="0" collapsed="false">
      <c r="A65" s="7" t="s">
        <v>43</v>
      </c>
      <c r="B65" s="7" t="s">
        <v>60</v>
      </c>
      <c r="C65" s="8" t="n">
        <f aca="false">IFERROR('Start-Class Minutes'!C64/'Start-Class Minutes'!$K64,0)</f>
        <v>0.0619312436804853</v>
      </c>
      <c r="D65" s="8" t="n">
        <f aca="false">IFERROR('Start-Class Minutes'!D64/'Start-Class Minutes'!$K64,0)</f>
        <v>0.38953488372093</v>
      </c>
      <c r="E65" s="8" t="n">
        <f aca="false">IFERROR('Start-Class Minutes'!E64/'Start-Class Minutes'!$K64,0)</f>
        <v>0.21840242669363</v>
      </c>
      <c r="F65" s="8" t="n">
        <f aca="false">IFERROR('Start-Class Minutes'!F64/'Start-Class Minutes'!$K64,0)</f>
        <v>0.0606673407482305</v>
      </c>
      <c r="G65" s="8" t="n">
        <f aca="false">IFERROR('Start-Class Minutes'!G64/'Start-Class Minutes'!$K64,0)</f>
        <v>0.0970677451971689</v>
      </c>
      <c r="H65" s="8" t="n">
        <f aca="false">IFERROR('Start-Class Minutes'!H64/'Start-Class Minutes'!$K64,0)</f>
        <v>0.0121334681496461</v>
      </c>
      <c r="I65" s="8" t="n">
        <f aca="false">IFERROR('Start-Class Minutes'!I64/'Start-Class Minutes'!$K64,0)</f>
        <v>0</v>
      </c>
      <c r="J65" s="8" t="n">
        <f aca="false">IFERROR('Start-Class Minutes'!J64/'Start-Class Minutes'!$K64,0)</f>
        <v>0.160262891809909</v>
      </c>
    </row>
    <row r="66" customFormat="false" ht="15" hidden="false" customHeight="false" outlineLevel="0" collapsed="false">
      <c r="A66" s="7" t="s">
        <v>45</v>
      </c>
      <c r="B66" s="7" t="s">
        <v>60</v>
      </c>
      <c r="C66" s="8" t="n">
        <f aca="false">IFERROR('Start-Class Minutes'!C65/'Start-Class Minutes'!$K65,0)</f>
        <v>0.2178517397882</v>
      </c>
      <c r="D66" s="8" t="n">
        <f aca="false">IFERROR('Start-Class Minutes'!D65/'Start-Class Minutes'!$K65,0)</f>
        <v>0.419062027231467</v>
      </c>
      <c r="E66" s="8" t="n">
        <f aca="false">IFERROR('Start-Class Minutes'!E65/'Start-Class Minutes'!$K65,0)</f>
        <v>0</v>
      </c>
      <c r="F66" s="8" t="n">
        <f aca="false">IFERROR('Start-Class Minutes'!F65/'Start-Class Minutes'!$K65,0)</f>
        <v>0.181543116490166</v>
      </c>
      <c r="G66" s="8" t="n">
        <f aca="false">IFERROR('Start-Class Minutes'!G65/'Start-Class Minutes'!$K65,0)</f>
        <v>0.0726172465960666</v>
      </c>
      <c r="H66" s="8" t="n">
        <f aca="false">IFERROR('Start-Class Minutes'!H65/'Start-Class Minutes'!$K65,0)</f>
        <v>0</v>
      </c>
      <c r="I66" s="8" t="n">
        <f aca="false">IFERROR('Start-Class Minutes'!I65/'Start-Class Minutes'!$K65,0)</f>
        <v>0.0121028744326778</v>
      </c>
      <c r="J66" s="8" t="n">
        <f aca="false">IFERROR('Start-Class Minutes'!J65/'Start-Class Minutes'!$K65,0)</f>
        <v>0.0968229954614221</v>
      </c>
    </row>
    <row r="67" customFormat="false" ht="15" hidden="false" customHeight="false" outlineLevel="0" collapsed="false">
      <c r="A67" s="7" t="s">
        <v>46</v>
      </c>
      <c r="B67" s="7" t="s">
        <v>60</v>
      </c>
      <c r="C67" s="8" t="n">
        <f aca="false">IFERROR('Start-Class Minutes'!C66/'Start-Class Minutes'!$K66,0)</f>
        <v>0.48718599340269</v>
      </c>
      <c r="D67" s="8" t="n">
        <f aca="false">IFERROR('Start-Class Minutes'!D66/'Start-Class Minutes'!$K66,0)</f>
        <v>0.182694747526009</v>
      </c>
      <c r="E67" s="8" t="n">
        <f aca="false">IFERROR('Start-Class Minutes'!E66/'Start-Class Minutes'!$K66,0)</f>
        <v>0.194874397361076</v>
      </c>
      <c r="F67" s="8" t="n">
        <f aca="false">IFERROR('Start-Class Minutes'!F66/'Start-Class Minutes'!$K66,0)</f>
        <v>0.0121796498350672</v>
      </c>
      <c r="G67" s="8" t="n">
        <f aca="false">IFERROR('Start-Class Minutes'!G66/'Start-Class Minutes'!$K66,0)</f>
        <v>0.0987059122050241</v>
      </c>
      <c r="H67" s="8" t="n">
        <f aca="false">IFERROR('Start-Class Minutes'!H66/'Start-Class Minutes'!$K66,0)</f>
        <v>0</v>
      </c>
      <c r="I67" s="8" t="n">
        <f aca="false">IFERROR('Start-Class Minutes'!I66/'Start-Class Minutes'!$K66,0)</f>
        <v>0</v>
      </c>
      <c r="J67" s="8" t="n">
        <f aca="false">IFERROR('Start-Class Minutes'!J66/'Start-Class Minutes'!$K66,0)</f>
        <v>0.0243592996701345</v>
      </c>
    </row>
    <row r="68" customFormat="false" ht="15" hidden="false" customHeight="false" outlineLevel="0" collapsed="false">
      <c r="A68" s="7" t="s">
        <v>47</v>
      </c>
      <c r="B68" s="7" t="s">
        <v>60</v>
      </c>
      <c r="C68" s="8" t="n">
        <f aca="false">IFERROR('Start-Class Minutes'!C67/'Start-Class Minutes'!$K67,0)</f>
        <v>0.572077758141883</v>
      </c>
      <c r="D68" s="8" t="n">
        <f aca="false">IFERROR('Start-Class Minutes'!D67/'Start-Class Minutes'!$K67,0)</f>
        <v>0.366069174450896</v>
      </c>
      <c r="E68" s="8" t="n">
        <f aca="false">IFERROR('Start-Class Minutes'!E67/'Start-Class Minutes'!$K67,0)</f>
        <v>0.0121181519818228</v>
      </c>
      <c r="F68" s="8" t="n">
        <f aca="false">IFERROR('Start-Class Minutes'!F67/'Start-Class Minutes'!$K67,0)</f>
        <v>0.0363544559454683</v>
      </c>
      <c r="G68" s="8" t="n">
        <f aca="false">IFERROR('Start-Class Minutes'!G67/'Start-Class Minutes'!$K67,0)</f>
        <v>0</v>
      </c>
      <c r="H68" s="8" t="n">
        <f aca="false">IFERROR('Start-Class Minutes'!H67/'Start-Class Minutes'!$K67,0)</f>
        <v>0</v>
      </c>
      <c r="I68" s="8" t="n">
        <f aca="false">IFERROR('Start-Class Minutes'!I67/'Start-Class Minutes'!$K67,0)</f>
        <v>0</v>
      </c>
      <c r="J68" s="8" t="n">
        <f aca="false">IFERROR('Start-Class Minutes'!J67/'Start-Class Minutes'!$K67,0)</f>
        <v>0.0133804594799293</v>
      </c>
    </row>
    <row r="69" customFormat="false" ht="15" hidden="false" customHeight="false" outlineLevel="0" collapsed="false">
      <c r="A69" s="7" t="s">
        <v>48</v>
      </c>
      <c r="B69" s="7" t="s">
        <v>60</v>
      </c>
      <c r="C69" s="8" t="n">
        <f aca="false">IFERROR('Start-Class Minutes'!C68/'Start-Class Minutes'!$K68,0)</f>
        <v>0.342264914054601</v>
      </c>
      <c r="D69" s="8" t="n">
        <f aca="false">IFERROR('Start-Class Minutes'!D68/'Start-Class Minutes'!$K68,0)</f>
        <v>0.474469160768453</v>
      </c>
      <c r="E69" s="8" t="n">
        <f aca="false">IFERROR('Start-Class Minutes'!E68/'Start-Class Minutes'!$K68,0)</f>
        <v>0.0364004044489383</v>
      </c>
      <c r="F69" s="8" t="n">
        <f aca="false">IFERROR('Start-Class Minutes'!F68/'Start-Class Minutes'!$K68,0)</f>
        <v>0.134732052578362</v>
      </c>
      <c r="G69" s="8" t="n">
        <f aca="false">IFERROR('Start-Class Minutes'!G68/'Start-Class Minutes'!$K68,0)</f>
        <v>0</v>
      </c>
      <c r="H69" s="8" t="n">
        <f aca="false">IFERROR('Start-Class Minutes'!H68/'Start-Class Minutes'!$K68,0)</f>
        <v>0</v>
      </c>
      <c r="I69" s="8" t="n">
        <f aca="false">IFERROR('Start-Class Minutes'!I68/'Start-Class Minutes'!$K68,0)</f>
        <v>0</v>
      </c>
      <c r="J69" s="8" t="n">
        <f aca="false">IFERROR('Start-Class Minutes'!J68/'Start-Class Minutes'!$K68,0)</f>
        <v>0.0121334681496461</v>
      </c>
    </row>
    <row r="70" customFormat="false" ht="15" hidden="false" customHeight="false" outlineLevel="0" collapsed="false">
      <c r="A70" s="7" t="s">
        <v>43</v>
      </c>
      <c r="B70" s="7" t="s">
        <v>61</v>
      </c>
      <c r="C70" s="8" t="n">
        <f aca="false">IFERROR('Start-Class Minutes'!C69/'Start-Class Minutes'!$K69,0)</f>
        <v>0</v>
      </c>
      <c r="D70" s="8" t="n">
        <f aca="false">IFERROR('Start-Class Minutes'!D69/'Start-Class Minutes'!$K69,0)</f>
        <v>0</v>
      </c>
      <c r="E70" s="8" t="n">
        <f aca="false">IFERROR('Start-Class Minutes'!E69/'Start-Class Minutes'!$K69,0)</f>
        <v>0</v>
      </c>
      <c r="F70" s="8" t="n">
        <f aca="false">IFERROR('Start-Class Minutes'!F69/'Start-Class Minutes'!$K69,0)</f>
        <v>0.109359359359359</v>
      </c>
      <c r="G70" s="8" t="n">
        <f aca="false">IFERROR('Start-Class Minutes'!G69/'Start-Class Minutes'!$K69,0)</f>
        <v>0.0890890890890891</v>
      </c>
      <c r="H70" s="8" t="n">
        <f aca="false">IFERROR('Start-Class Minutes'!H69/'Start-Class Minutes'!$K69,0)</f>
        <v>0.0600600600600601</v>
      </c>
      <c r="I70" s="8" t="n">
        <f aca="false">IFERROR('Start-Class Minutes'!I69/'Start-Class Minutes'!$K69,0)</f>
        <v>0</v>
      </c>
      <c r="J70" s="8" t="n">
        <f aca="false">IFERROR('Start-Class Minutes'!J69/'Start-Class Minutes'!$K69,0)</f>
        <v>0.741491491491492</v>
      </c>
    </row>
    <row r="71" customFormat="false" ht="15" hidden="false" customHeight="false" outlineLevel="0" collapsed="false">
      <c r="A71" s="7" t="s">
        <v>45</v>
      </c>
      <c r="B71" s="7" t="s">
        <v>61</v>
      </c>
      <c r="C71" s="8" t="n">
        <f aca="false">IFERROR('Start-Class Minutes'!C70/'Start-Class Minutes'!$K70,0)</f>
        <v>0.0978370221327968</v>
      </c>
      <c r="D71" s="8" t="n">
        <f aca="false">IFERROR('Start-Class Minutes'!D70/'Start-Class Minutes'!$K70,0)</f>
        <v>0.621981891348089</v>
      </c>
      <c r="E71" s="8" t="n">
        <f aca="false">IFERROR('Start-Class Minutes'!E70/'Start-Class Minutes'!$K70,0)</f>
        <v>0.0362173038229376</v>
      </c>
      <c r="F71" s="8" t="n">
        <f aca="false">IFERROR('Start-Class Minutes'!F70/'Start-Class Minutes'!$K70,0)</f>
        <v>0.132796780684105</v>
      </c>
      <c r="G71" s="8" t="n">
        <f aca="false">IFERROR('Start-Class Minutes'!G70/'Start-Class Minutes'!$K70,0)</f>
        <v>0.0603621730382294</v>
      </c>
      <c r="H71" s="8" t="n">
        <f aca="false">IFERROR('Start-Class Minutes'!H70/'Start-Class Minutes'!$K70,0)</f>
        <v>0.0266599597585513</v>
      </c>
      <c r="I71" s="8" t="n">
        <f aca="false">IFERROR('Start-Class Minutes'!I70/'Start-Class Minutes'!$K70,0)</f>
        <v>0</v>
      </c>
      <c r="J71" s="8" t="n">
        <f aca="false">IFERROR('Start-Class Minutes'!J70/'Start-Class Minutes'!$K70,0)</f>
        <v>0.0241448692152918</v>
      </c>
    </row>
    <row r="72" customFormat="false" ht="15" hidden="false" customHeight="false" outlineLevel="0" collapsed="false">
      <c r="A72" s="7" t="s">
        <v>46</v>
      </c>
      <c r="B72" s="7" t="s">
        <v>61</v>
      </c>
      <c r="C72" s="8" t="n">
        <f aca="false">IFERROR('Start-Class Minutes'!C71/'Start-Class Minutes'!$K71,0)</f>
        <v>0.136703506961053</v>
      </c>
      <c r="D72" s="8" t="n">
        <f aca="false">IFERROR('Start-Class Minutes'!D71/'Start-Class Minutes'!$K71,0)</f>
        <v>0.594924599078573</v>
      </c>
      <c r="E72" s="8" t="n">
        <f aca="false">IFERROR('Start-Class Minutes'!E71/'Start-Class Minutes'!$K71,0)</f>
        <v>0.0604214395407971</v>
      </c>
      <c r="F72" s="8" t="n">
        <f aca="false">IFERROR('Start-Class Minutes'!F71/'Start-Class Minutes'!$K71,0)</f>
        <v>0.183781878603258</v>
      </c>
      <c r="G72" s="8" t="n">
        <f aca="false">IFERROR('Start-Class Minutes'!G71/'Start-Class Minutes'!$K71,0)</f>
        <v>0.0241685758163188</v>
      </c>
      <c r="H72" s="8" t="n">
        <f aca="false">IFERROR('Start-Class Minutes'!H71/'Start-Class Minutes'!$K71,0)</f>
        <v>0</v>
      </c>
      <c r="I72" s="8" t="n">
        <f aca="false">IFERROR('Start-Class Minutes'!I71/'Start-Class Minutes'!$K71,0)</f>
        <v>0</v>
      </c>
      <c r="J72" s="8" t="n">
        <f aca="false">IFERROR('Start-Class Minutes'!J71/'Start-Class Minutes'!$K71,0)</f>
        <v>0</v>
      </c>
    </row>
    <row r="73" customFormat="false" ht="15" hidden="false" customHeight="false" outlineLevel="0" collapsed="false">
      <c r="A73" s="7" t="s">
        <v>47</v>
      </c>
      <c r="B73" s="7" t="s">
        <v>61</v>
      </c>
      <c r="C73" s="8" t="n">
        <f aca="false">IFERROR('Start-Class Minutes'!C72/'Start-Class Minutes'!$K72,0)</f>
        <v>0.158134820070958</v>
      </c>
      <c r="D73" s="8" t="n">
        <f aca="false">IFERROR('Start-Class Minutes'!D72/'Start-Class Minutes'!$K72,0)</f>
        <v>0.463507349214394</v>
      </c>
      <c r="E73" s="8" t="n">
        <f aca="false">IFERROR('Start-Class Minutes'!E72/'Start-Class Minutes'!$K72,0)</f>
        <v>0.0608210846426761</v>
      </c>
      <c r="F73" s="8" t="n">
        <f aca="false">IFERROR('Start-Class Minutes'!F72/'Start-Class Minutes'!$K72,0)</f>
        <v>0.208058793715155</v>
      </c>
      <c r="G73" s="8" t="n">
        <f aca="false">IFERROR('Start-Class Minutes'!G72/'Start-Class Minutes'!$K72,0)</f>
        <v>0.0364926507856057</v>
      </c>
      <c r="H73" s="8" t="n">
        <f aca="false">IFERROR('Start-Class Minutes'!H72/'Start-Class Minutes'!$K72,0)</f>
        <v>0</v>
      </c>
      <c r="I73" s="8" t="n">
        <f aca="false">IFERROR('Start-Class Minutes'!I72/'Start-Class Minutes'!$K72,0)</f>
        <v>0</v>
      </c>
      <c r="J73" s="8" t="n">
        <f aca="false">IFERROR('Start-Class Minutes'!J72/'Start-Class Minutes'!$K72,0)</f>
        <v>0.0729853015712114</v>
      </c>
    </row>
    <row r="74" customFormat="false" ht="15" hidden="false" customHeight="false" outlineLevel="0" collapsed="false">
      <c r="A74" s="7" t="s">
        <v>48</v>
      </c>
      <c r="B74" s="7" t="s">
        <v>61</v>
      </c>
      <c r="C74" s="8" t="n">
        <f aca="false">IFERROR('Start-Class Minutes'!C73/'Start-Class Minutes'!$K73,0)</f>
        <v>0.354478558741436</v>
      </c>
      <c r="D74" s="8" t="n">
        <f aca="false">IFERROR('Start-Class Minutes'!D73/'Start-Class Minutes'!$K73,0)</f>
        <v>0.438467394062421</v>
      </c>
      <c r="E74" s="8" t="n">
        <f aca="false">IFERROR('Start-Class Minutes'!E73/'Start-Class Minutes'!$K73,0)</f>
        <v>0</v>
      </c>
      <c r="F74" s="8" t="n">
        <f aca="false">IFERROR('Start-Class Minutes'!F73/'Start-Class Minutes'!$K73,0)</f>
        <v>0.0974371986805379</v>
      </c>
      <c r="G74" s="8" t="n">
        <f aca="false">IFERROR('Start-Class Minutes'!G73/'Start-Class Minutes'!$K73,0)</f>
        <v>0.0730778990104035</v>
      </c>
      <c r="H74" s="8" t="n">
        <f aca="false">IFERROR('Start-Class Minutes'!H73/'Start-Class Minutes'!$K73,0)</f>
        <v>0</v>
      </c>
      <c r="I74" s="8" t="n">
        <f aca="false">IFERROR('Start-Class Minutes'!I73/'Start-Class Minutes'!$K73,0)</f>
        <v>0</v>
      </c>
      <c r="J74" s="8" t="n">
        <f aca="false">IFERROR('Start-Class Minutes'!J73/'Start-Class Minutes'!$K73,0)</f>
        <v>0.0365389495052017</v>
      </c>
    </row>
    <row r="75" customFormat="false" ht="15" hidden="false" customHeight="false" outlineLevel="0" collapsed="false">
      <c r="A75" s="7" t="s">
        <v>43</v>
      </c>
      <c r="B75" s="7" t="s">
        <v>62</v>
      </c>
      <c r="C75" s="8" t="n">
        <f aca="false">IFERROR('Start-Class Minutes'!C74/'Start-Class Minutes'!$K74,0)</f>
        <v>0.121334681496461</v>
      </c>
      <c r="D75" s="8" t="n">
        <f aca="false">IFERROR('Start-Class Minutes'!D74/'Start-Class Minutes'!$K74,0)</f>
        <v>0.683265925176946</v>
      </c>
      <c r="E75" s="8" t="n">
        <f aca="false">IFERROR('Start-Class Minutes'!E74/'Start-Class Minutes'!$K74,0)</f>
        <v>0</v>
      </c>
      <c r="F75" s="8" t="n">
        <f aca="false">IFERROR('Start-Class Minutes'!F74/'Start-Class Minutes'!$K74,0)</f>
        <v>0.1711324570273</v>
      </c>
      <c r="G75" s="8" t="n">
        <f aca="false">IFERROR('Start-Class Minutes'!G74/'Start-Class Minutes'!$K74,0)</f>
        <v>0</v>
      </c>
      <c r="H75" s="8" t="n">
        <f aca="false">IFERROR('Start-Class Minutes'!H74/'Start-Class Minutes'!$K74,0)</f>
        <v>0</v>
      </c>
      <c r="I75" s="8" t="n">
        <f aca="false">IFERROR('Start-Class Minutes'!I74/'Start-Class Minutes'!$K74,0)</f>
        <v>0</v>
      </c>
      <c r="J75" s="8" t="n">
        <f aca="false">IFERROR('Start-Class Minutes'!J74/'Start-Class Minutes'!$K74,0)</f>
        <v>0.0242669362992922</v>
      </c>
    </row>
    <row r="76" customFormat="false" ht="15" hidden="false" customHeight="false" outlineLevel="0" collapsed="false">
      <c r="A76" s="7" t="s">
        <v>45</v>
      </c>
      <c r="B76" s="7" t="s">
        <v>62</v>
      </c>
      <c r="C76" s="8" t="n">
        <f aca="false">IFERROR('Start-Class Minutes'!C75/'Start-Class Minutes'!$K75,0)</f>
        <v>0.133468149646107</v>
      </c>
      <c r="D76" s="8" t="n">
        <f aca="false">IFERROR('Start-Class Minutes'!D75/'Start-Class Minutes'!$K75,0)</f>
        <v>0.316734074823054</v>
      </c>
      <c r="E76" s="8" t="n">
        <f aca="false">IFERROR('Start-Class Minutes'!E75/'Start-Class Minutes'!$K75,0)</f>
        <v>0.145601617795753</v>
      </c>
      <c r="F76" s="8" t="n">
        <f aca="false">IFERROR('Start-Class Minutes'!F75/'Start-Class Minutes'!$K75,0)</f>
        <v>0.0995955510616785</v>
      </c>
      <c r="G76" s="8" t="n">
        <f aca="false">IFERROR('Start-Class Minutes'!G75/'Start-Class Minutes'!$K75,0)</f>
        <v>0.195399393326593</v>
      </c>
      <c r="H76" s="8" t="n">
        <f aca="false">IFERROR('Start-Class Minutes'!H75/'Start-Class Minutes'!$K75,0)</f>
        <v>0</v>
      </c>
      <c r="I76" s="8" t="n">
        <f aca="false">IFERROR('Start-Class Minutes'!I75/'Start-Class Minutes'!$K75,0)</f>
        <v>0</v>
      </c>
      <c r="J76" s="8" t="n">
        <f aca="false">IFERROR('Start-Class Minutes'!J75/'Start-Class Minutes'!$K75,0)</f>
        <v>0.109201213346815</v>
      </c>
    </row>
    <row r="77" customFormat="false" ht="15" hidden="false" customHeight="false" outlineLevel="0" collapsed="false">
      <c r="A77" s="7" t="s">
        <v>46</v>
      </c>
      <c r="B77" s="7" t="s">
        <v>62</v>
      </c>
      <c r="C77" s="8" t="n">
        <f aca="false">IFERROR('Start-Class Minutes'!C76/'Start-Class Minutes'!$K76,0)</f>
        <v>0.0619140279497612</v>
      </c>
      <c r="D77" s="8" t="n">
        <f aca="false">IFERROR('Start-Class Minutes'!D76/'Start-Class Minutes'!$K76,0)</f>
        <v>0.0849106669025296</v>
      </c>
      <c r="E77" s="8" t="n">
        <f aca="false">IFERROR('Start-Class Minutes'!E76/'Start-Class Minutes'!$K76,0)</f>
        <v>0.0363902858153698</v>
      </c>
      <c r="F77" s="8" t="n">
        <f aca="false">IFERROR('Start-Class Minutes'!F76/'Start-Class Minutes'!$K76,0)</f>
        <v>0.171084885395871</v>
      </c>
      <c r="G77" s="8" t="n">
        <f aca="false">IFERROR('Start-Class Minutes'!G76/'Start-Class Minutes'!$K76,0)</f>
        <v>0.0485203810871598</v>
      </c>
      <c r="H77" s="8" t="n">
        <f aca="false">IFERROR('Start-Class Minutes'!H76/'Start-Class Minutes'!$K76,0)</f>
        <v>0</v>
      </c>
      <c r="I77" s="8" t="n">
        <f aca="false">IFERROR('Start-Class Minutes'!I76/'Start-Class Minutes'!$K76,0)</f>
        <v>0.0121300952717899</v>
      </c>
      <c r="J77" s="8" t="n">
        <f aca="false">IFERROR('Start-Class Minutes'!J76/'Start-Class Minutes'!$K76,0)</f>
        <v>0.585049657577519</v>
      </c>
    </row>
    <row r="78" customFormat="false" ht="15" hidden="false" customHeight="false" outlineLevel="0" collapsed="false">
      <c r="A78" s="7" t="s">
        <v>47</v>
      </c>
      <c r="B78" s="7" t="s">
        <v>62</v>
      </c>
      <c r="C78" s="8" t="n">
        <f aca="false">IFERROR('Start-Class Minutes'!C77/'Start-Class Minutes'!$K77,0)</f>
        <v>0.305759959401167</v>
      </c>
      <c r="D78" s="8" t="n">
        <f aca="false">IFERROR('Start-Class Minutes'!D77/'Start-Class Minutes'!$K77,0)</f>
        <v>0.401928444557219</v>
      </c>
      <c r="E78" s="8" t="n">
        <f aca="false">IFERROR('Start-Class Minutes'!E77/'Start-Class Minutes'!$K77,0)</f>
        <v>0.0121796498350672</v>
      </c>
      <c r="F78" s="8" t="n">
        <f aca="false">IFERROR('Start-Class Minutes'!F77/'Start-Class Minutes'!$K77,0)</f>
        <v>0.146155798020807</v>
      </c>
      <c r="G78" s="8" t="n">
        <f aca="false">IFERROR('Start-Class Minutes'!G77/'Start-Class Minutes'!$K77,0)</f>
        <v>0.048718599340269</v>
      </c>
      <c r="H78" s="8" t="n">
        <f aca="false">IFERROR('Start-Class Minutes'!H77/'Start-Class Minutes'!$K77,0)</f>
        <v>0</v>
      </c>
      <c r="I78" s="8" t="n">
        <f aca="false">IFERROR('Start-Class Minutes'!I77/'Start-Class Minutes'!$K77,0)</f>
        <v>0</v>
      </c>
      <c r="J78" s="8" t="n">
        <f aca="false">IFERROR('Start-Class Minutes'!J77/'Start-Class Minutes'!$K77,0)</f>
        <v>0.0852575488454707</v>
      </c>
    </row>
    <row r="79" customFormat="false" ht="15" hidden="false" customHeight="false" outlineLevel="0" collapsed="false">
      <c r="A79" s="7" t="s">
        <v>48</v>
      </c>
      <c r="B79" s="7" t="s">
        <v>62</v>
      </c>
      <c r="C79" s="8" t="n">
        <f aca="false">IFERROR('Start-Class Minutes'!C78/'Start-Class Minutes'!$K78,0)</f>
        <v>0.0121642169285352</v>
      </c>
      <c r="D79" s="8" t="n">
        <f aca="false">IFERROR('Start-Class Minutes'!D78/'Start-Class Minutes'!$K78,0)</f>
        <v>0.183730359858084</v>
      </c>
      <c r="E79" s="8" t="n">
        <f aca="false">IFERROR('Start-Class Minutes'!E78/'Start-Class Minutes'!$K78,0)</f>
        <v>0.0255955397871262</v>
      </c>
      <c r="F79" s="8" t="n">
        <f aca="false">IFERROR('Start-Class Minutes'!F78/'Start-Class Minutes'!$K78,0)</f>
        <v>0.27977698935631</v>
      </c>
      <c r="G79" s="8" t="n">
        <f aca="false">IFERROR('Start-Class Minutes'!G78/'Start-Class Minutes'!$K78,0)</f>
        <v>0.0486568677141409</v>
      </c>
      <c r="H79" s="8" t="n">
        <f aca="false">IFERROR('Start-Class Minutes'!H78/'Start-Class Minutes'!$K78,0)</f>
        <v>0.0608210846426761</v>
      </c>
      <c r="I79" s="8" t="n">
        <f aca="false">IFERROR('Start-Class Minutes'!I78/'Start-Class Minutes'!$K78,0)</f>
        <v>0</v>
      </c>
      <c r="J79" s="8" t="n">
        <f aca="false">IFERROR('Start-Class Minutes'!J78/'Start-Class Minutes'!$K78,0)</f>
        <v>0.389254941713127</v>
      </c>
    </row>
    <row r="80" customFormat="false" ht="15" hidden="false" customHeight="false" outlineLevel="0" collapsed="false">
      <c r="A80" s="7" t="s">
        <v>43</v>
      </c>
      <c r="B80" s="7" t="s">
        <v>63</v>
      </c>
      <c r="C80" s="8" t="n">
        <f aca="false">IFERROR('Start-Class Minutes'!C79/'Start-Class Minutes'!$K79,0)</f>
        <v>0</v>
      </c>
      <c r="D80" s="8" t="n">
        <f aca="false">IFERROR('Start-Class Minutes'!D79/'Start-Class Minutes'!$K79,0)</f>
        <v>0.438932258876857</v>
      </c>
      <c r="E80" s="8" t="n">
        <f aca="false">IFERROR('Start-Class Minutes'!E79/'Start-Class Minutes'!$K79,0)</f>
        <v>0</v>
      </c>
      <c r="F80" s="8" t="n">
        <f aca="false">IFERROR('Start-Class Minutes'!F79/'Start-Class Minutes'!$K79,0)</f>
        <v>0.331402669352808</v>
      </c>
      <c r="G80" s="8" t="n">
        <f aca="false">IFERROR('Start-Class Minutes'!G79/'Start-Class Minutes'!$K79,0)</f>
        <v>0</v>
      </c>
      <c r="H80" s="8" t="n">
        <f aca="false">IFERROR('Start-Class Minutes'!H79/'Start-Class Minutes'!$K79,0)</f>
        <v>0</v>
      </c>
      <c r="I80" s="8" t="n">
        <f aca="false">IFERROR('Start-Class Minutes'!I79/'Start-Class Minutes'!$K79,0)</f>
        <v>0</v>
      </c>
      <c r="J80" s="8" t="n">
        <f aca="false">IFERROR('Start-Class Minutes'!J79/'Start-Class Minutes'!$K79,0)</f>
        <v>0.229665071770335</v>
      </c>
    </row>
    <row r="81" customFormat="false" ht="15" hidden="false" customHeight="false" outlineLevel="0" collapsed="false">
      <c r="A81" s="7" t="s">
        <v>45</v>
      </c>
      <c r="B81" s="7" t="s">
        <v>63</v>
      </c>
      <c r="C81" s="8" t="n">
        <f aca="false">IFERROR('Start-Class Minutes'!C80/'Start-Class Minutes'!$K80,0)</f>
        <v>0.255743499116385</v>
      </c>
      <c r="D81" s="8" t="n">
        <f aca="false">IFERROR('Start-Class Minutes'!D80/'Start-Class Minutes'!$K80,0)</f>
        <v>0.427922241858117</v>
      </c>
      <c r="E81" s="8" t="n">
        <f aca="false">IFERROR('Start-Class Minutes'!E80/'Start-Class Minutes'!$K80,0)</f>
        <v>0.0484726079272911</v>
      </c>
      <c r="F81" s="8" t="n">
        <f aca="false">IFERROR('Start-Class Minutes'!F80/'Start-Class Minutes'!$K80,0)</f>
        <v>0.0727089118909366</v>
      </c>
      <c r="G81" s="8" t="n">
        <f aca="false">IFERROR('Start-Class Minutes'!G80/'Start-Class Minutes'!$K80,0)</f>
        <v>0.0848270638727594</v>
      </c>
      <c r="H81" s="8" t="n">
        <f aca="false">IFERROR('Start-Class Minutes'!H80/'Start-Class Minutes'!$K80,0)</f>
        <v>0</v>
      </c>
      <c r="I81" s="8" t="n">
        <f aca="false">IFERROR('Start-Class Minutes'!I80/'Start-Class Minutes'!$K80,0)</f>
        <v>0.0121181519818228</v>
      </c>
      <c r="J81" s="8" t="n">
        <f aca="false">IFERROR('Start-Class Minutes'!J80/'Start-Class Minutes'!$K80,0)</f>
        <v>0.0982075233526887</v>
      </c>
    </row>
    <row r="82" customFormat="false" ht="15" hidden="false" customHeight="false" outlineLevel="0" collapsed="false">
      <c r="A82" s="7" t="s">
        <v>46</v>
      </c>
      <c r="B82" s="7" t="s">
        <v>63</v>
      </c>
      <c r="C82" s="8" t="n">
        <f aca="false">IFERROR('Start-Class Minutes'!C81/'Start-Class Minutes'!$K81,0)</f>
        <v>0</v>
      </c>
      <c r="D82" s="8" t="n">
        <f aca="false">IFERROR('Start-Class Minutes'!D81/'Start-Class Minutes'!$K81,0)</f>
        <v>0.15793470007593</v>
      </c>
      <c r="E82" s="8" t="n">
        <f aca="false">IFERROR('Start-Class Minutes'!E81/'Start-Class Minutes'!$K81,0)</f>
        <v>0.0255631485699823</v>
      </c>
      <c r="F82" s="8" t="n">
        <f aca="false">IFERROR('Start-Class Minutes'!F81/'Start-Class Minutes'!$K81,0)</f>
        <v>0.15793470007593</v>
      </c>
      <c r="G82" s="8" t="n">
        <f aca="false">IFERROR('Start-Class Minutes'!G81/'Start-Class Minutes'!$K81,0)</f>
        <v>0.330549228043533</v>
      </c>
      <c r="H82" s="8" t="n">
        <f aca="false">IFERROR('Start-Class Minutes'!H81/'Start-Class Minutes'!$K81,0)</f>
        <v>0.0485952923310554</v>
      </c>
      <c r="I82" s="8" t="n">
        <f aca="false">IFERROR('Start-Class Minutes'!I81/'Start-Class Minutes'!$K81,0)</f>
        <v>0.0121488230827639</v>
      </c>
      <c r="J82" s="8" t="n">
        <f aca="false">IFERROR('Start-Class Minutes'!J81/'Start-Class Minutes'!$K81,0)</f>
        <v>0.267274107820805</v>
      </c>
    </row>
    <row r="83" customFormat="false" ht="15" hidden="false" customHeight="false" outlineLevel="0" collapsed="false">
      <c r="A83" s="7" t="s">
        <v>47</v>
      </c>
      <c r="B83" s="7" t="s">
        <v>63</v>
      </c>
      <c r="C83" s="8" t="n">
        <f aca="false">IFERROR('Start-Class Minutes'!C82/'Start-Class Minutes'!$K82,0)</f>
        <v>0</v>
      </c>
      <c r="D83" s="8" t="n">
        <f aca="false">IFERROR('Start-Class Minutes'!D82/'Start-Class Minutes'!$K82,0)</f>
        <v>0</v>
      </c>
      <c r="E83" s="8" t="n">
        <f aca="false">IFERROR('Start-Class Minutes'!E82/'Start-Class Minutes'!$K82,0)</f>
        <v>0</v>
      </c>
      <c r="F83" s="8" t="n">
        <f aca="false">IFERROR('Start-Class Minutes'!F82/'Start-Class Minutes'!$K82,0)</f>
        <v>0.145760160561967</v>
      </c>
      <c r="G83" s="8" t="n">
        <f aca="false">IFERROR('Start-Class Minutes'!G82/'Start-Class Minutes'!$K82,0)</f>
        <v>0.0481685900652283</v>
      </c>
      <c r="H83" s="8" t="n">
        <f aca="false">IFERROR('Start-Class Minutes'!H82/'Start-Class Minutes'!$K82,0)</f>
        <v>0</v>
      </c>
      <c r="I83" s="8" t="n">
        <f aca="false">IFERROR('Start-Class Minutes'!I82/'Start-Class Minutes'!$K82,0)</f>
        <v>0</v>
      </c>
      <c r="J83" s="8" t="n">
        <f aca="false">IFERROR('Start-Class Minutes'!J82/'Start-Class Minutes'!$K82,0)</f>
        <v>0.806071249372805</v>
      </c>
    </row>
    <row r="84" customFormat="false" ht="15" hidden="false" customHeight="false" outlineLevel="0" collapsed="false">
      <c r="A84" s="7" t="s">
        <v>48</v>
      </c>
      <c r="B84" s="7" t="s">
        <v>63</v>
      </c>
      <c r="C84" s="8" t="n">
        <f aca="false">IFERROR('Start-Class Minutes'!C83/'Start-Class Minutes'!$K83,0)</f>
        <v>0.35320984521695</v>
      </c>
      <c r="D84" s="8" t="n">
        <f aca="false">IFERROR('Start-Class Minutes'!D83/'Start-Class Minutes'!$K83,0)</f>
        <v>0.403197158081705</v>
      </c>
      <c r="E84" s="8" t="n">
        <f aca="false">IFERROR('Start-Class Minutes'!E83/'Start-Class Minutes'!$K83,0)</f>
        <v>0.13397614818574</v>
      </c>
      <c r="F84" s="8" t="n">
        <f aca="false">IFERROR('Start-Class Minutes'!F83/'Start-Class Minutes'!$K83,0)</f>
        <v>0.0243592996701345</v>
      </c>
      <c r="G84" s="8" t="n">
        <f aca="false">IFERROR('Start-Class Minutes'!G83/'Start-Class Minutes'!$K83,0)</f>
        <v>0.0243592996701345</v>
      </c>
      <c r="H84" s="8" t="n">
        <f aca="false">IFERROR('Start-Class Minutes'!H83/'Start-Class Minutes'!$K83,0)</f>
        <v>0.0243592996701345</v>
      </c>
      <c r="I84" s="8" t="n">
        <f aca="false">IFERROR('Start-Class Minutes'!I83/'Start-Class Minutes'!$K83,0)</f>
        <v>0</v>
      </c>
      <c r="J84" s="8" t="n">
        <f aca="false">IFERROR('Start-Class Minutes'!J83/'Start-Class Minutes'!$K83,0)</f>
        <v>0.0365389495052017</v>
      </c>
    </row>
    <row r="85" customFormat="false" ht="15" hidden="false" customHeight="false" outlineLevel="0" collapsed="false">
      <c r="A85" s="7" t="s">
        <v>43</v>
      </c>
      <c r="B85" s="7" t="s">
        <v>64</v>
      </c>
      <c r="C85" s="8" t="n">
        <f aca="false">IFERROR('Start-Class Minutes'!C84/'Start-Class Minutes'!$K84,0)</f>
        <v>0.413059984813971</v>
      </c>
      <c r="D85" s="8" t="n">
        <f aca="false">IFERROR('Start-Class Minutes'!D84/'Start-Class Minutes'!$K84,0)</f>
        <v>0.292837256390787</v>
      </c>
      <c r="E85" s="8" t="n">
        <f aca="false">IFERROR('Start-Class Minutes'!E84/'Start-Class Minutes'!$K84,0)</f>
        <v>0.0364464692482916</v>
      </c>
      <c r="F85" s="8" t="n">
        <f aca="false">IFERROR('Start-Class Minutes'!F84/'Start-Class Minutes'!$K84,0)</f>
        <v>0.04986079473551</v>
      </c>
      <c r="G85" s="8" t="n">
        <f aca="false">IFERROR('Start-Class Minutes'!G84/'Start-Class Minutes'!$K84,0)</f>
        <v>0.0971905846621109</v>
      </c>
      <c r="H85" s="8" t="n">
        <f aca="false">IFERROR('Start-Class Minutes'!H84/'Start-Class Minutes'!$K84,0)</f>
        <v>0</v>
      </c>
      <c r="I85" s="8" t="n">
        <f aca="false">IFERROR('Start-Class Minutes'!I84/'Start-Class Minutes'!$K84,0)</f>
        <v>0</v>
      </c>
      <c r="J85" s="8" t="n">
        <f aca="false">IFERROR('Start-Class Minutes'!J84/'Start-Class Minutes'!$K84,0)</f>
        <v>0.110604910149329</v>
      </c>
    </row>
    <row r="86" customFormat="false" ht="15" hidden="false" customHeight="false" outlineLevel="0" collapsed="false">
      <c r="A86" s="7" t="s">
        <v>45</v>
      </c>
      <c r="B86" s="7" t="s">
        <v>64</v>
      </c>
      <c r="C86" s="8" t="n">
        <f aca="false">IFERROR('Start-Class Minutes'!C85/'Start-Class Minutes'!$K85,0)</f>
        <v>0</v>
      </c>
      <c r="D86" s="8" t="n">
        <f aca="false">IFERROR('Start-Class Minutes'!D85/'Start-Class Minutes'!$K85,0)</f>
        <v>0.58219868885527</v>
      </c>
      <c r="E86" s="8" t="n">
        <f aca="false">IFERROR('Start-Class Minutes'!E85/'Start-Class Minutes'!$K85,0)</f>
        <v>0.0242057488653555</v>
      </c>
      <c r="F86" s="8" t="n">
        <f aca="false">IFERROR('Start-Class Minutes'!F85/'Start-Class Minutes'!$K85,0)</f>
        <v>0.197428139183056</v>
      </c>
      <c r="G86" s="8" t="n">
        <f aca="false">IFERROR('Start-Class Minutes'!G85/'Start-Class Minutes'!$K85,0)</f>
        <v>0.0121028744326778</v>
      </c>
      <c r="H86" s="8" t="n">
        <f aca="false">IFERROR('Start-Class Minutes'!H85/'Start-Class Minutes'!$K85,0)</f>
        <v>0</v>
      </c>
      <c r="I86" s="8" t="n">
        <f aca="false">IFERROR('Start-Class Minutes'!I85/'Start-Class Minutes'!$K85,0)</f>
        <v>0</v>
      </c>
      <c r="J86" s="8" t="n">
        <f aca="false">IFERROR('Start-Class Minutes'!J85/'Start-Class Minutes'!$K85,0)</f>
        <v>0.184064548663641</v>
      </c>
    </row>
    <row r="87" customFormat="false" ht="15" hidden="false" customHeight="false" outlineLevel="0" collapsed="false">
      <c r="A87" s="7" t="s">
        <v>46</v>
      </c>
      <c r="B87" s="7" t="s">
        <v>64</v>
      </c>
      <c r="C87" s="8" t="n">
        <f aca="false">IFERROR('Start-Class Minutes'!C86/'Start-Class Minutes'!$K86,0)</f>
        <v>0.477657157283514</v>
      </c>
      <c r="D87" s="8" t="n">
        <f aca="false">IFERROR('Start-Class Minutes'!D86/'Start-Class Minutes'!$K86,0)</f>
        <v>0.302953799545569</v>
      </c>
      <c r="E87" s="8" t="n">
        <f aca="false">IFERROR('Start-Class Minutes'!E86/'Start-Class Minutes'!$K86,0)</f>
        <v>0.0982075233526887</v>
      </c>
      <c r="F87" s="8" t="n">
        <f aca="false">IFERROR('Start-Class Minutes'!F86/'Start-Class Minutes'!$K86,0)</f>
        <v>0.0969452158545822</v>
      </c>
      <c r="G87" s="8" t="n">
        <f aca="false">IFERROR('Start-Class Minutes'!G86/'Start-Class Minutes'!$K86,0)</f>
        <v>0</v>
      </c>
      <c r="H87" s="8" t="n">
        <f aca="false">IFERROR('Start-Class Minutes'!H86/'Start-Class Minutes'!$K86,0)</f>
        <v>0.0121181519818228</v>
      </c>
      <c r="I87" s="8" t="n">
        <f aca="false">IFERROR('Start-Class Minutes'!I86/'Start-Class Minutes'!$K86,0)</f>
        <v>0.0121181519818228</v>
      </c>
      <c r="J87" s="8" t="n">
        <f aca="false">IFERROR('Start-Class Minutes'!J86/'Start-Class Minutes'!$K86,0)</f>
        <v>0</v>
      </c>
    </row>
    <row r="88" customFormat="false" ht="15" hidden="false" customHeight="false" outlineLevel="0" collapsed="false">
      <c r="A88" s="7" t="s">
        <v>47</v>
      </c>
      <c r="B88" s="7" t="s">
        <v>64</v>
      </c>
      <c r="C88" s="8" t="n">
        <f aca="false">IFERROR('Start-Class Minutes'!C87/'Start-Class Minutes'!$K87,0)</f>
        <v>0.170083523158694</v>
      </c>
      <c r="D88" s="8" t="n">
        <f aca="false">IFERROR('Start-Class Minutes'!D87/'Start-Class Minutes'!$K87,0)</f>
        <v>0.0728929384965831</v>
      </c>
      <c r="E88" s="8" t="n">
        <f aca="false">IFERROR('Start-Class Minutes'!E87/'Start-Class Minutes'!$K87,0)</f>
        <v>0.499367248797773</v>
      </c>
      <c r="F88" s="8" t="n">
        <f aca="false">IFERROR('Start-Class Minutes'!F87/'Start-Class Minutes'!$K87,0)</f>
        <v>0.0242976461655277</v>
      </c>
      <c r="G88" s="8" t="n">
        <f aca="false">IFERROR('Start-Class Minutes'!G87/'Start-Class Minutes'!$K87,0)</f>
        <v>0.110604910149329</v>
      </c>
      <c r="H88" s="8" t="n">
        <f aca="false">IFERROR('Start-Class Minutes'!H87/'Start-Class Minutes'!$K87,0)</f>
        <v>0.0485952923310554</v>
      </c>
      <c r="I88" s="8" t="n">
        <f aca="false">IFERROR('Start-Class Minutes'!I87/'Start-Class Minutes'!$K87,0)</f>
        <v>0</v>
      </c>
      <c r="J88" s="8" t="n">
        <f aca="false">IFERROR('Start-Class Minutes'!J87/'Start-Class Minutes'!$K87,0)</f>
        <v>0.0741584409010377</v>
      </c>
    </row>
    <row r="89" customFormat="false" ht="15" hidden="false" customHeight="false" outlineLevel="0" collapsed="false">
      <c r="A89" s="7" t="s">
        <v>48</v>
      </c>
      <c r="B89" s="7" t="s">
        <v>64</v>
      </c>
      <c r="C89" s="8" t="n">
        <f aca="false">IFERROR('Start-Class Minutes'!C88/'Start-Class Minutes'!$K88,0)</f>
        <v>0.36573019488737</v>
      </c>
      <c r="D89" s="8" t="n">
        <f aca="false">IFERROR('Start-Class Minutes'!D88/'Start-Class Minutes'!$K88,0)</f>
        <v>0.329283725639079</v>
      </c>
      <c r="E89" s="8" t="n">
        <f aca="false">IFERROR('Start-Class Minutes'!E88/'Start-Class Minutes'!$K88,0)</f>
        <v>0.159200202480385</v>
      </c>
      <c r="F89" s="8" t="n">
        <f aca="false">IFERROR('Start-Class Minutes'!F88/'Start-Class Minutes'!$K88,0)</f>
        <v>0.0121488230827639</v>
      </c>
      <c r="G89" s="8" t="n">
        <f aca="false">IFERROR('Start-Class Minutes'!G88/'Start-Class Minutes'!$K88,0)</f>
        <v>0.085041761579347</v>
      </c>
      <c r="H89" s="8" t="n">
        <f aca="false">IFERROR('Start-Class Minutes'!H88/'Start-Class Minutes'!$K88,0)</f>
        <v>0</v>
      </c>
      <c r="I89" s="8" t="n">
        <f aca="false">IFERROR('Start-Class Minutes'!I88/'Start-Class Minutes'!$K88,0)</f>
        <v>0</v>
      </c>
      <c r="J89" s="8" t="n">
        <f aca="false">IFERROR('Start-Class Minutes'!J88/'Start-Class Minutes'!$K88,0)</f>
        <v>0.0485952923310554</v>
      </c>
    </row>
    <row r="90" customFormat="false" ht="15" hidden="false" customHeight="false" outlineLevel="0" collapsed="false">
      <c r="A90" s="7" t="s">
        <v>43</v>
      </c>
      <c r="B90" s="7" t="s">
        <v>65</v>
      </c>
      <c r="C90" s="8" t="n">
        <f aca="false">IFERROR('Start-Class Minutes'!C89/'Start-Class Minutes'!$K89,0)</f>
        <v>0.413801820020222</v>
      </c>
      <c r="D90" s="8" t="n">
        <f aca="false">IFERROR('Start-Class Minutes'!D89/'Start-Class Minutes'!$K89,0)</f>
        <v>0.319261880687563</v>
      </c>
      <c r="E90" s="8" t="n">
        <f aca="false">IFERROR('Start-Class Minutes'!E89/'Start-Class Minutes'!$K89,0)</f>
        <v>0</v>
      </c>
      <c r="F90" s="8" t="n">
        <f aca="false">IFERROR('Start-Class Minutes'!F89/'Start-Class Minutes'!$K89,0)</f>
        <v>0.133468149646107</v>
      </c>
      <c r="G90" s="8" t="n">
        <f aca="false">IFERROR('Start-Class Minutes'!G89/'Start-Class Minutes'!$K89,0)</f>
        <v>0.0849342770475228</v>
      </c>
      <c r="H90" s="8" t="n">
        <f aca="false">IFERROR('Start-Class Minutes'!H89/'Start-Class Minutes'!$K89,0)</f>
        <v>0</v>
      </c>
      <c r="I90" s="8" t="n">
        <f aca="false">IFERROR('Start-Class Minutes'!I89/'Start-Class Minutes'!$K89,0)</f>
        <v>0</v>
      </c>
      <c r="J90" s="8" t="n">
        <f aca="false">IFERROR('Start-Class Minutes'!J89/'Start-Class Minutes'!$K89,0)</f>
        <v>0.0485338725985844</v>
      </c>
    </row>
    <row r="91" customFormat="false" ht="15" hidden="false" customHeight="false" outlineLevel="0" collapsed="false">
      <c r="A91" s="7" t="s">
        <v>45</v>
      </c>
      <c r="B91" s="7" t="s">
        <v>65</v>
      </c>
      <c r="C91" s="8" t="n">
        <f aca="false">IFERROR('Start-Class Minutes'!C90/'Start-Class Minutes'!$K90,0)</f>
        <v>0.696167423096319</v>
      </c>
      <c r="D91" s="8" t="n">
        <f aca="false">IFERROR('Start-Class Minutes'!D90/'Start-Class Minutes'!$K90,0)</f>
        <v>0.14649520927887</v>
      </c>
      <c r="E91" s="8" t="n">
        <f aca="false">IFERROR('Start-Class Minutes'!E90/'Start-Class Minutes'!$K90,0)</f>
        <v>0.121028744326778</v>
      </c>
      <c r="F91" s="8" t="n">
        <f aca="false">IFERROR('Start-Class Minutes'!F90/'Start-Class Minutes'!$K90,0)</f>
        <v>0</v>
      </c>
      <c r="G91" s="8" t="n">
        <f aca="false">IFERROR('Start-Class Minutes'!G90/'Start-Class Minutes'!$K90,0)</f>
        <v>0.0242057488653555</v>
      </c>
      <c r="H91" s="8" t="n">
        <f aca="false">IFERROR('Start-Class Minutes'!H90/'Start-Class Minutes'!$K90,0)</f>
        <v>0</v>
      </c>
      <c r="I91" s="8" t="n">
        <f aca="false">IFERROR('Start-Class Minutes'!I90/'Start-Class Minutes'!$K90,0)</f>
        <v>0</v>
      </c>
      <c r="J91" s="8" t="n">
        <f aca="false">IFERROR('Start-Class Minutes'!J90/'Start-Class Minutes'!$K90,0)</f>
        <v>0.0121028744326778</v>
      </c>
    </row>
    <row r="92" customFormat="false" ht="15" hidden="false" customHeight="false" outlineLevel="0" collapsed="false">
      <c r="A92" s="7" t="s">
        <v>46</v>
      </c>
      <c r="B92" s="7" t="s">
        <v>65</v>
      </c>
      <c r="C92" s="8" t="n">
        <f aca="false">IFERROR('Start-Class Minutes'!C91/'Start-Class Minutes'!$K91,0)</f>
        <v>0.536985609694522</v>
      </c>
      <c r="D92" s="8" t="n">
        <f aca="false">IFERROR('Start-Class Minutes'!D91/'Start-Class Minutes'!$K91,0)</f>
        <v>0.352688714970967</v>
      </c>
      <c r="E92" s="8" t="n">
        <f aca="false">IFERROR('Start-Class Minutes'!E91/'Start-Class Minutes'!$K91,0)</f>
        <v>0</v>
      </c>
      <c r="F92" s="8" t="n">
        <f aca="false">IFERROR('Start-Class Minutes'!F91/'Start-Class Minutes'!$K91,0)</f>
        <v>0.0739712193890432</v>
      </c>
      <c r="G92" s="8" t="n">
        <f aca="false">IFERROR('Start-Class Minutes'!G91/'Start-Class Minutes'!$K91,0)</f>
        <v>0.0363544559454683</v>
      </c>
      <c r="H92" s="8" t="n">
        <f aca="false">IFERROR('Start-Class Minutes'!H91/'Start-Class Minutes'!$K91,0)</f>
        <v>0</v>
      </c>
      <c r="I92" s="8" t="n">
        <f aca="false">IFERROR('Start-Class Minutes'!I91/'Start-Class Minutes'!$K91,0)</f>
        <v>0</v>
      </c>
      <c r="J92" s="8" t="n">
        <f aca="false">IFERROR('Start-Class Minutes'!J91/'Start-Class Minutes'!$K91,0)</f>
        <v>0</v>
      </c>
    </row>
    <row r="93" customFormat="false" ht="15" hidden="false" customHeight="false" outlineLevel="0" collapsed="false">
      <c r="A93" s="7" t="s">
        <v>47</v>
      </c>
      <c r="B93" s="7" t="s">
        <v>65</v>
      </c>
      <c r="C93" s="8" t="n">
        <f aca="false">IFERROR('Start-Class Minutes'!C92/'Start-Class Minutes'!$K92,0)</f>
        <v>0.634392334846193</v>
      </c>
      <c r="D93" s="8" t="n">
        <f aca="false">IFERROR('Start-Class Minutes'!D92/'Start-Class Minutes'!$K92,0)</f>
        <v>0.219112455874937</v>
      </c>
      <c r="E93" s="8" t="n">
        <f aca="false">IFERROR('Start-Class Minutes'!E92/'Start-Class Minutes'!$K92,0)</f>
        <v>0.0121028744326778</v>
      </c>
      <c r="F93" s="8" t="n">
        <f aca="false">IFERROR('Start-Class Minutes'!F92/'Start-Class Minutes'!$K92,0)</f>
        <v>0.0605143721633888</v>
      </c>
      <c r="G93" s="8" t="n">
        <f aca="false">IFERROR('Start-Class Minutes'!G92/'Start-Class Minutes'!$K92,0)</f>
        <v>0.0375693393847706</v>
      </c>
      <c r="H93" s="8" t="n">
        <f aca="false">IFERROR('Start-Class Minutes'!H92/'Start-Class Minutes'!$K92,0)</f>
        <v>0</v>
      </c>
      <c r="I93" s="8" t="n">
        <f aca="false">IFERROR('Start-Class Minutes'!I92/'Start-Class Minutes'!$K92,0)</f>
        <v>0</v>
      </c>
      <c r="J93" s="8" t="n">
        <f aca="false">IFERROR('Start-Class Minutes'!J92/'Start-Class Minutes'!$K92,0)</f>
        <v>0.0363086232980333</v>
      </c>
    </row>
    <row r="94" customFormat="false" ht="15" hidden="false" customHeight="false" outlineLevel="0" collapsed="false">
      <c r="A94" s="7" t="s">
        <v>48</v>
      </c>
      <c r="B94" s="7" t="s">
        <v>65</v>
      </c>
      <c r="C94" s="8" t="n">
        <f aca="false">IFERROR('Start-Class Minutes'!C93/'Start-Class Minutes'!$K93,0)</f>
        <v>0.658998988877654</v>
      </c>
      <c r="D94" s="8" t="n">
        <f aca="false">IFERROR('Start-Class Minutes'!D93/'Start-Class Minutes'!$K93,0)</f>
        <v>0.109201213346815</v>
      </c>
      <c r="E94" s="8" t="n">
        <f aca="false">IFERROR('Start-Class Minutes'!E93/'Start-Class Minutes'!$K93,0)</f>
        <v>0.122598584428716</v>
      </c>
      <c r="F94" s="8" t="n">
        <f aca="false">IFERROR('Start-Class Minutes'!F93/'Start-Class Minutes'!$K93,0)</f>
        <v>0</v>
      </c>
      <c r="G94" s="8" t="n">
        <f aca="false">IFERROR('Start-Class Minutes'!G93/'Start-Class Minutes'!$K93,0)</f>
        <v>0.0849342770475228</v>
      </c>
      <c r="H94" s="8" t="n">
        <f aca="false">IFERROR('Start-Class Minutes'!H93/'Start-Class Minutes'!$K93,0)</f>
        <v>0</v>
      </c>
      <c r="I94" s="8" t="n">
        <f aca="false">IFERROR('Start-Class Minutes'!I93/'Start-Class Minutes'!$K93,0)</f>
        <v>0</v>
      </c>
      <c r="J94" s="8" t="n">
        <f aca="false">IFERROR('Start-Class Minutes'!J93/'Start-Class Minutes'!$K93,0)</f>
        <v>0.0242669362992922</v>
      </c>
    </row>
    <row r="95" customFormat="false" ht="15" hidden="false" customHeight="false" outlineLevel="0" collapsed="false">
      <c r="A95" s="7" t="s">
        <v>43</v>
      </c>
      <c r="B95" s="7" t="s">
        <v>66</v>
      </c>
      <c r="C95" s="8" t="n">
        <f aca="false">IFERROR('Start-Class Minutes'!C94/'Start-Class Minutes'!$K94,0)</f>
        <v>0.281953935712478</v>
      </c>
      <c r="D95" s="8" t="n">
        <f aca="false">IFERROR('Start-Class Minutes'!D94/'Start-Class Minutes'!$K94,0)</f>
        <v>0.390027841052898</v>
      </c>
      <c r="E95" s="8" t="n">
        <f aca="false">IFERROR('Start-Class Minutes'!E94/'Start-Class Minutes'!$K94,0)</f>
        <v>0.085041761579347</v>
      </c>
      <c r="F95" s="8" t="n">
        <f aca="false">IFERROR('Start-Class Minutes'!F94/'Start-Class Minutes'!$K94,0)</f>
        <v>0</v>
      </c>
      <c r="G95" s="8" t="n">
        <f aca="false">IFERROR('Start-Class Minutes'!G94/'Start-Class Minutes'!$K94,0)</f>
        <v>0.170083523158694</v>
      </c>
      <c r="H95" s="8" t="n">
        <f aca="false">IFERROR('Start-Class Minutes'!H94/'Start-Class Minutes'!$K94,0)</f>
        <v>0.0485952923310554</v>
      </c>
      <c r="I95" s="8" t="n">
        <f aca="false">IFERROR('Start-Class Minutes'!I94/'Start-Class Minutes'!$K94,0)</f>
        <v>0</v>
      </c>
      <c r="J95" s="8" t="n">
        <f aca="false">IFERROR('Start-Class Minutes'!J94/'Start-Class Minutes'!$K94,0)</f>
        <v>0.0242976461655277</v>
      </c>
    </row>
    <row r="96" customFormat="false" ht="15" hidden="false" customHeight="false" outlineLevel="0" collapsed="false">
      <c r="A96" s="7" t="s">
        <v>45</v>
      </c>
      <c r="B96" s="7" t="s">
        <v>66</v>
      </c>
      <c r="C96" s="8" t="n">
        <f aca="false">IFERROR('Start-Class Minutes'!C95/'Start-Class Minutes'!$K95,0)</f>
        <v>0.524804835054143</v>
      </c>
      <c r="D96" s="8" t="n">
        <f aca="false">IFERROR('Start-Class Minutes'!D95/'Start-Class Minutes'!$K95,0)</f>
        <v>0.318055905313523</v>
      </c>
      <c r="E96" s="8" t="n">
        <f aca="false">IFERROR('Start-Class Minutes'!E95/'Start-Class Minutes'!$K95,0)</f>
        <v>0.0241752707126668</v>
      </c>
      <c r="F96" s="8" t="n">
        <f aca="false">IFERROR('Start-Class Minutes'!F95/'Start-Class Minutes'!$K95,0)</f>
        <v>0.108788718207001</v>
      </c>
      <c r="G96" s="8" t="n">
        <f aca="false">IFERROR('Start-Class Minutes'!G95/'Start-Class Minutes'!$K95,0)</f>
        <v>0.0120876353563334</v>
      </c>
      <c r="H96" s="8" t="n">
        <f aca="false">IFERROR('Start-Class Minutes'!H95/'Start-Class Minutes'!$K95,0)</f>
        <v>0</v>
      </c>
      <c r="I96" s="8" t="n">
        <f aca="false">IFERROR('Start-Class Minutes'!I95/'Start-Class Minutes'!$K95,0)</f>
        <v>0</v>
      </c>
      <c r="J96" s="8" t="n">
        <f aca="false">IFERROR('Start-Class Minutes'!J95/'Start-Class Minutes'!$K95,0)</f>
        <v>0.0120876353563334</v>
      </c>
    </row>
    <row r="97" customFormat="false" ht="15" hidden="false" customHeight="false" outlineLevel="0" collapsed="false">
      <c r="A97" s="7" t="s">
        <v>46</v>
      </c>
      <c r="B97" s="7" t="s">
        <v>66</v>
      </c>
      <c r="C97" s="8" t="n">
        <f aca="false">IFERROR('Start-Class Minutes'!C96/'Start-Class Minutes'!$K96,0)</f>
        <v>0.500634356762243</v>
      </c>
      <c r="D97" s="8" t="n">
        <f aca="false">IFERROR('Start-Class Minutes'!D96/'Start-Class Minutes'!$K96,0)</f>
        <v>0.35320984521695</v>
      </c>
      <c r="E97" s="8" t="n">
        <f aca="false">IFERROR('Start-Class Minutes'!E96/'Start-Class Minutes'!$K96,0)</f>
        <v>0.0365389495052017</v>
      </c>
      <c r="F97" s="8" t="n">
        <f aca="false">IFERROR('Start-Class Minutes'!F96/'Start-Class Minutes'!$K96,0)</f>
        <v>0.0243592996701345</v>
      </c>
      <c r="G97" s="8" t="n">
        <f aca="false">IFERROR('Start-Class Minutes'!G96/'Start-Class Minutes'!$K96,0)</f>
        <v>0.048718599340269</v>
      </c>
      <c r="H97" s="8" t="n">
        <f aca="false">IFERROR('Start-Class Minutes'!H96/'Start-Class Minutes'!$K96,0)</f>
        <v>0.0121796498350672</v>
      </c>
      <c r="I97" s="8" t="n">
        <f aca="false">IFERROR('Start-Class Minutes'!I96/'Start-Class Minutes'!$K96,0)</f>
        <v>0</v>
      </c>
      <c r="J97" s="8" t="n">
        <f aca="false">IFERROR('Start-Class Minutes'!J96/'Start-Class Minutes'!$K96,0)</f>
        <v>0.0243592996701345</v>
      </c>
    </row>
    <row r="98" customFormat="false" ht="15" hidden="false" customHeight="false" outlineLevel="0" collapsed="false">
      <c r="A98" s="7" t="s">
        <v>47</v>
      </c>
      <c r="B98" s="7" t="s">
        <v>66</v>
      </c>
      <c r="C98" s="8" t="n">
        <f aca="false">IFERROR('Start-Class Minutes'!C97/'Start-Class Minutes'!$K97,0)</f>
        <v>0.171349025563149</v>
      </c>
      <c r="D98" s="8" t="n">
        <f aca="false">IFERROR('Start-Class Minutes'!D97/'Start-Class Minutes'!$K97,0)</f>
        <v>0.0607441154138193</v>
      </c>
      <c r="E98" s="8" t="n">
        <f aca="false">IFERROR('Start-Class Minutes'!E97/'Start-Class Minutes'!$K97,0)</f>
        <v>0.0971905846621109</v>
      </c>
      <c r="F98" s="8" t="n">
        <f aca="false">IFERROR('Start-Class Minutes'!F97/'Start-Class Minutes'!$K97,0)</f>
        <v>0.0255631485699823</v>
      </c>
      <c r="G98" s="8" t="n">
        <f aca="false">IFERROR('Start-Class Minutes'!G97/'Start-Class Minutes'!$K97,0)</f>
        <v>0.134902556314857</v>
      </c>
      <c r="H98" s="8" t="n">
        <f aca="false">IFERROR('Start-Class Minutes'!H97/'Start-Class Minutes'!$K97,0)</f>
        <v>0.170083523158694</v>
      </c>
      <c r="I98" s="8" t="n">
        <f aca="false">IFERROR('Start-Class Minutes'!I97/'Start-Class Minutes'!$K97,0)</f>
        <v>0</v>
      </c>
      <c r="J98" s="8" t="n">
        <f aca="false">IFERROR('Start-Class Minutes'!J97/'Start-Class Minutes'!$K97,0)</f>
        <v>0.340167046317388</v>
      </c>
    </row>
    <row r="99" customFormat="false" ht="15" hidden="false" customHeight="false" outlineLevel="0" collapsed="false">
      <c r="A99" s="7" t="s">
        <v>48</v>
      </c>
      <c r="B99" s="7" t="s">
        <v>66</v>
      </c>
      <c r="C99" s="8" t="n">
        <f aca="false">IFERROR('Start-Class Minutes'!C98/'Start-Class Minutes'!$K98,0)</f>
        <v>0.35521332996718</v>
      </c>
      <c r="D99" s="8" t="n">
        <f aca="false">IFERROR('Start-Class Minutes'!D98/'Start-Class Minutes'!$K98,0)</f>
        <v>0.230244887654633</v>
      </c>
      <c r="E99" s="8" t="n">
        <f aca="false">IFERROR('Start-Class Minutes'!E98/'Start-Class Minutes'!$K98,0)</f>
        <v>0.232769502650846</v>
      </c>
      <c r="F99" s="8" t="n">
        <f aca="false">IFERROR('Start-Class Minutes'!F98/'Start-Class Minutes'!$K98,0)</f>
        <v>0.0121181519818228</v>
      </c>
      <c r="G99" s="8" t="n">
        <f aca="false">IFERROR('Start-Class Minutes'!G98/'Start-Class Minutes'!$K98,0)</f>
        <v>0.0484726079272911</v>
      </c>
      <c r="H99" s="8" t="n">
        <f aca="false">IFERROR('Start-Class Minutes'!H98/'Start-Class Minutes'!$K98,0)</f>
        <v>0.0242363039636455</v>
      </c>
      <c r="I99" s="8" t="n">
        <f aca="false">IFERROR('Start-Class Minutes'!I98/'Start-Class Minutes'!$K98,0)</f>
        <v>0.0484726079272911</v>
      </c>
      <c r="J99" s="8" t="n">
        <f aca="false">IFERROR('Start-Class Minutes'!J98/'Start-Class Minutes'!$K98,0)</f>
        <v>0.0484726079272911</v>
      </c>
    </row>
    <row r="100" customFormat="false" ht="15" hidden="false" customHeight="false" outlineLevel="0" collapsed="false">
      <c r="A100" s="7" t="s">
        <v>43</v>
      </c>
      <c r="B100" s="7" t="s">
        <v>67</v>
      </c>
      <c r="C100" s="8" t="n">
        <f aca="false">IFERROR('Start-Class Minutes'!C99/'Start-Class Minutes'!$K99,0)</f>
        <v>0</v>
      </c>
      <c r="D100" s="8" t="n">
        <f aca="false">IFERROR('Start-Class Minutes'!D99/'Start-Class Minutes'!$K99,0)</f>
        <v>0.315470171890799</v>
      </c>
      <c r="E100" s="8" t="n">
        <f aca="false">IFERROR('Start-Class Minutes'!E99/'Start-Class Minutes'!$K99,0)</f>
        <v>0.294994944388271</v>
      </c>
      <c r="F100" s="8" t="n">
        <f aca="false">IFERROR('Start-Class Minutes'!F99/'Start-Class Minutes'!$K99,0)</f>
        <v>0.0606673407482305</v>
      </c>
      <c r="G100" s="8" t="n">
        <f aca="false">IFERROR('Start-Class Minutes'!G99/'Start-Class Minutes'!$K99,0)</f>
        <v>0.0728008088978766</v>
      </c>
      <c r="H100" s="8" t="n">
        <f aca="false">IFERROR('Start-Class Minutes'!H99/'Start-Class Minutes'!$K99,0)</f>
        <v>0.122598584428716</v>
      </c>
      <c r="I100" s="8" t="n">
        <f aca="false">IFERROR('Start-Class Minutes'!I99/'Start-Class Minutes'!$K99,0)</f>
        <v>0</v>
      </c>
      <c r="J100" s="8" t="n">
        <f aca="false">IFERROR('Start-Class Minutes'!J99/'Start-Class Minutes'!$K99,0)</f>
        <v>0.133468149646107</v>
      </c>
    </row>
    <row r="101" customFormat="false" ht="15" hidden="false" customHeight="false" outlineLevel="0" collapsed="false">
      <c r="A101" s="7" t="s">
        <v>45</v>
      </c>
      <c r="B101" s="7" t="s">
        <v>67</v>
      </c>
      <c r="C101" s="8" t="n">
        <f aca="false">IFERROR('Start-Class Minutes'!C100/'Start-Class Minutes'!$K100,0)</f>
        <v>0.38862440491105</v>
      </c>
      <c r="D101" s="8" t="n">
        <f aca="false">IFERROR('Start-Class Minutes'!D100/'Start-Class Minutes'!$K100,0)</f>
        <v>0.184164369832122</v>
      </c>
      <c r="E101" s="8" t="n">
        <f aca="false">IFERROR('Start-Class Minutes'!E100/'Start-Class Minutes'!$K100,0)</f>
        <v>0.234778251064896</v>
      </c>
      <c r="F101" s="8" t="n">
        <f aca="false">IFERROR('Start-Class Minutes'!F100/'Start-Class Minutes'!$K100,0)</f>
        <v>0.0240541217739915</v>
      </c>
      <c r="G101" s="8" t="n">
        <f aca="false">IFERROR('Start-Class Minutes'!G100/'Start-Class Minutes'!$K100,0)</f>
        <v>0.048108243547983</v>
      </c>
      <c r="H101" s="8" t="n">
        <f aca="false">IFERROR('Start-Class Minutes'!H100/'Start-Class Minutes'!$K100,0)</f>
        <v>0.0240541217739915</v>
      </c>
      <c r="I101" s="8" t="n">
        <f aca="false">IFERROR('Start-Class Minutes'!I100/'Start-Class Minutes'!$K100,0)</f>
        <v>0.0721623653219744</v>
      </c>
      <c r="J101" s="8" t="n">
        <f aca="false">IFERROR('Start-Class Minutes'!J100/'Start-Class Minutes'!$K100,0)</f>
        <v>0.0240541217739915</v>
      </c>
    </row>
    <row r="102" customFormat="false" ht="15" hidden="false" customHeight="false" outlineLevel="0" collapsed="false">
      <c r="A102" s="7" t="s">
        <v>46</v>
      </c>
      <c r="B102" s="7" t="s">
        <v>67</v>
      </c>
      <c r="C102" s="8" t="n">
        <f aca="false">IFERROR('Start-Class Minutes'!C101/'Start-Class Minutes'!$K101,0)</f>
        <v>0.206791687785099</v>
      </c>
      <c r="D102" s="8" t="n">
        <f aca="false">IFERROR('Start-Class Minutes'!D101/'Start-Class Minutes'!$K101,0)</f>
        <v>0.293208312214901</v>
      </c>
      <c r="E102" s="8" t="n">
        <f aca="false">IFERROR('Start-Class Minutes'!E101/'Start-Class Minutes'!$K101,0)</f>
        <v>0.109477952356817</v>
      </c>
      <c r="F102" s="8" t="n">
        <f aca="false">IFERROR('Start-Class Minutes'!F101/'Start-Class Minutes'!$K101,0)</f>
        <v>0.194627470856564</v>
      </c>
      <c r="G102" s="8" t="n">
        <f aca="false">IFERROR('Start-Class Minutes'!G101/'Start-Class Minutes'!$K101,0)</f>
        <v>0.122909275215408</v>
      </c>
      <c r="H102" s="8" t="n">
        <f aca="false">IFERROR('Start-Class Minutes'!H101/'Start-Class Minutes'!$K101,0)</f>
        <v>0</v>
      </c>
      <c r="I102" s="8" t="n">
        <f aca="false">IFERROR('Start-Class Minutes'!I101/'Start-Class Minutes'!$K101,0)</f>
        <v>0</v>
      </c>
      <c r="J102" s="8" t="n">
        <f aca="false">IFERROR('Start-Class Minutes'!J101/'Start-Class Minutes'!$K101,0)</f>
        <v>0.0729853015712114</v>
      </c>
    </row>
    <row r="103" customFormat="false" ht="15" hidden="false" customHeight="false" outlineLevel="0" collapsed="false">
      <c r="A103" s="7" t="s">
        <v>47</v>
      </c>
      <c r="B103" s="7" t="s">
        <v>67</v>
      </c>
      <c r="C103" s="8" t="n">
        <f aca="false">IFERROR('Start-Class Minutes'!C102/'Start-Class Minutes'!$K102,0)</f>
        <v>0.584507042253521</v>
      </c>
      <c r="D103" s="8" t="n">
        <f aca="false">IFERROR('Start-Class Minutes'!D102/'Start-Class Minutes'!$K102,0)</f>
        <v>0.219818913480885</v>
      </c>
      <c r="E103" s="8" t="n">
        <f aca="false">IFERROR('Start-Class Minutes'!E102/'Start-Class Minutes'!$K102,0)</f>
        <v>0.14612676056338</v>
      </c>
      <c r="F103" s="8" t="n">
        <f aca="false">IFERROR('Start-Class Minutes'!F102/'Start-Class Minutes'!$K102,0)</f>
        <v>0.0254024144869215</v>
      </c>
      <c r="G103" s="8" t="n">
        <f aca="false">IFERROR('Start-Class Minutes'!G102/'Start-Class Minutes'!$K102,0)</f>
        <v>0</v>
      </c>
      <c r="H103" s="8" t="n">
        <f aca="false">IFERROR('Start-Class Minutes'!H102/'Start-Class Minutes'!$K102,0)</f>
        <v>0.0120724346076459</v>
      </c>
      <c r="I103" s="8" t="n">
        <f aca="false">IFERROR('Start-Class Minutes'!I102/'Start-Class Minutes'!$K102,0)</f>
        <v>0</v>
      </c>
      <c r="J103" s="8" t="n">
        <f aca="false">IFERROR('Start-Class Minutes'!J102/'Start-Class Minutes'!$K102,0)</f>
        <v>0.0120724346076459</v>
      </c>
    </row>
    <row r="104" customFormat="false" ht="15" hidden="false" customHeight="false" outlineLevel="0" collapsed="false">
      <c r="A104" s="7" t="s">
        <v>48</v>
      </c>
      <c r="B104" s="7" t="s">
        <v>67</v>
      </c>
      <c r="C104" s="8" t="n">
        <f aca="false">IFERROR('Start-Class Minutes'!C103/'Start-Class Minutes'!$K103,0)</f>
        <v>0.437357630979499</v>
      </c>
      <c r="D104" s="8" t="n">
        <f aca="false">IFERROR('Start-Class Minutes'!D103/'Start-Class Minutes'!$K103,0)</f>
        <v>0.404707668944571</v>
      </c>
      <c r="E104" s="8" t="n">
        <f aca="false">IFERROR('Start-Class Minutes'!E103/'Start-Class Minutes'!$K103,0)</f>
        <v>0.0242976461655277</v>
      </c>
      <c r="F104" s="8" t="n">
        <f aca="false">IFERROR('Start-Class Minutes'!F103/'Start-Class Minutes'!$K103,0)</f>
        <v>0.0728929384965831</v>
      </c>
      <c r="G104" s="8" t="n">
        <f aca="false">IFERROR('Start-Class Minutes'!G103/'Start-Class Minutes'!$K103,0)</f>
        <v>0.0364464692482916</v>
      </c>
      <c r="H104" s="8" t="n">
        <f aca="false">IFERROR('Start-Class Minutes'!H103/'Start-Class Minutes'!$K103,0)</f>
        <v>0</v>
      </c>
      <c r="I104" s="8" t="n">
        <f aca="false">IFERROR('Start-Class Minutes'!I103/'Start-Class Minutes'!$K103,0)</f>
        <v>0</v>
      </c>
      <c r="J104" s="8" t="n">
        <f aca="false">IFERROR('Start-Class Minutes'!J103/'Start-Class Minutes'!$K103,0)</f>
        <v>0.0242976461655277</v>
      </c>
    </row>
    <row r="105" customFormat="false" ht="15" hidden="false" customHeight="false" outlineLevel="0" collapsed="false">
      <c r="A105" s="7" t="s">
        <v>43</v>
      </c>
      <c r="B105" s="7" t="s">
        <v>68</v>
      </c>
      <c r="C105" s="8" t="n">
        <f aca="false">IFERROR('Start-Class Minutes'!C104/'Start-Class Minutes'!$K104,0)</f>
        <v>0.315071951527392</v>
      </c>
      <c r="D105" s="8" t="n">
        <f aca="false">IFERROR('Start-Class Minutes'!D104/'Start-Class Minutes'!$K104,0)</f>
        <v>0.195152739207271</v>
      </c>
      <c r="E105" s="8" t="n">
        <f aca="false">IFERROR('Start-Class Minutes'!E104/'Start-Class Minutes'!$K104,0)</f>
        <v>0.0242363039636455</v>
      </c>
      <c r="F105" s="8" t="n">
        <f aca="false">IFERROR('Start-Class Minutes'!F104/'Start-Class Minutes'!$K104,0)</f>
        <v>0.0484726079272911</v>
      </c>
      <c r="G105" s="8" t="n">
        <f aca="false">IFERROR('Start-Class Minutes'!G104/'Start-Class Minutes'!$K104,0)</f>
        <v>0.135824286796264</v>
      </c>
      <c r="H105" s="8" t="n">
        <f aca="false">IFERROR('Start-Class Minutes'!H104/'Start-Class Minutes'!$K104,0)</f>
        <v>0.0363544559454683</v>
      </c>
      <c r="I105" s="8" t="n">
        <f aca="false">IFERROR('Start-Class Minutes'!I104/'Start-Class Minutes'!$K104,0)</f>
        <v>0.0254986114617521</v>
      </c>
      <c r="J105" s="8" t="n">
        <f aca="false">IFERROR('Start-Class Minutes'!J104/'Start-Class Minutes'!$K104,0)</f>
        <v>0.219389043170916</v>
      </c>
    </row>
    <row r="106" customFormat="false" ht="15" hidden="false" customHeight="false" outlineLevel="0" collapsed="false">
      <c r="A106" s="7" t="s">
        <v>45</v>
      </c>
      <c r="B106" s="7" t="s">
        <v>68</v>
      </c>
      <c r="C106" s="8" t="n">
        <f aca="false">IFERROR('Start-Class Minutes'!C105/'Start-Class Minutes'!$K105,0)</f>
        <v>0</v>
      </c>
      <c r="D106" s="8" t="n">
        <f aca="false">IFERROR('Start-Class Minutes'!D105/'Start-Class Minutes'!$K105,0)</f>
        <v>0.183832787710904</v>
      </c>
      <c r="E106" s="8" t="n">
        <f aca="false">IFERROR('Start-Class Minutes'!E105/'Start-Class Minutes'!$K105,0)</f>
        <v>0.327625283303954</v>
      </c>
      <c r="F106" s="8" t="n">
        <f aca="false">IFERROR('Start-Class Minutes'!F105/'Start-Class Minutes'!$K105,0)</f>
        <v>0.0967010828506673</v>
      </c>
      <c r="G106" s="8" t="n">
        <f aca="false">IFERROR('Start-Class Minutes'!G105/'Start-Class Minutes'!$K105,0)</f>
        <v>0.293880634600856</v>
      </c>
      <c r="H106" s="8" t="n">
        <f aca="false">IFERROR('Start-Class Minutes'!H105/'Start-Class Minutes'!$K105,0)</f>
        <v>0.0120876353563334</v>
      </c>
      <c r="I106" s="8" t="n">
        <f aca="false">IFERROR('Start-Class Minutes'!I105/'Start-Class Minutes'!$K105,0)</f>
        <v>0</v>
      </c>
      <c r="J106" s="8" t="n">
        <f aca="false">IFERROR('Start-Class Minutes'!J105/'Start-Class Minutes'!$K105,0)</f>
        <v>0.0858725761772853</v>
      </c>
    </row>
    <row r="107" customFormat="false" ht="15" hidden="false" customHeight="false" outlineLevel="0" collapsed="false">
      <c r="A107" s="7" t="s">
        <v>46</v>
      </c>
      <c r="B107" s="7" t="s">
        <v>68</v>
      </c>
      <c r="C107" s="8" t="n">
        <f aca="false">IFERROR('Start-Class Minutes'!C106/'Start-Class Minutes'!$K106,0)</f>
        <v>0.765968189851048</v>
      </c>
      <c r="D107" s="8" t="n">
        <f aca="false">IFERROR('Start-Class Minutes'!D106/'Start-Class Minutes'!$K106,0)</f>
        <v>0.161322898258016</v>
      </c>
      <c r="E107" s="8" t="n">
        <f aca="false">IFERROR('Start-Class Minutes'!E106/'Start-Class Minutes'!$K106,0)</f>
        <v>0.0242363039636455</v>
      </c>
      <c r="F107" s="8" t="n">
        <f aca="false">IFERROR('Start-Class Minutes'!F106/'Start-Class Minutes'!$K106,0)</f>
        <v>0.0363544559454683</v>
      </c>
      <c r="G107" s="8" t="n">
        <f aca="false">IFERROR('Start-Class Minutes'!G106/'Start-Class Minutes'!$K106,0)</f>
        <v>0.0121181519818228</v>
      </c>
      <c r="H107" s="8" t="n">
        <f aca="false">IFERROR('Start-Class Minutes'!H106/'Start-Class Minutes'!$K106,0)</f>
        <v>0</v>
      </c>
      <c r="I107" s="8" t="n">
        <f aca="false">IFERROR('Start-Class Minutes'!I106/'Start-Class Minutes'!$K106,0)</f>
        <v>0</v>
      </c>
      <c r="J107" s="8" t="n">
        <f aca="false">IFERROR('Start-Class Minutes'!J106/'Start-Class Minutes'!$K106,0)</f>
        <v>0</v>
      </c>
    </row>
    <row r="108" customFormat="false" ht="15" hidden="false" customHeight="false" outlineLevel="0" collapsed="false">
      <c r="A108" s="7" t="s">
        <v>47</v>
      </c>
      <c r="B108" s="7" t="s">
        <v>68</v>
      </c>
      <c r="C108" s="8" t="n">
        <f aca="false">IFERROR('Start-Class Minutes'!C107/'Start-Class Minutes'!$K107,0)</f>
        <v>0</v>
      </c>
      <c r="D108" s="8" t="n">
        <f aca="false">IFERROR('Start-Class Minutes'!D107/'Start-Class Minutes'!$K107,0)</f>
        <v>0.622430855112916</v>
      </c>
      <c r="E108" s="8" t="n">
        <f aca="false">IFERROR('Start-Class Minutes'!E107/'Start-Class Minutes'!$K107,0)</f>
        <v>0</v>
      </c>
      <c r="F108" s="8" t="n">
        <f aca="false">IFERROR('Start-Class Minutes'!F107/'Start-Class Minutes'!$K107,0)</f>
        <v>0.267952296371479</v>
      </c>
      <c r="G108" s="8" t="n">
        <f aca="false">IFERROR('Start-Class Minutes'!G107/'Start-Class Minutes'!$K107,0)</f>
        <v>0</v>
      </c>
      <c r="H108" s="8" t="n">
        <f aca="false">IFERROR('Start-Class Minutes'!H107/'Start-Class Minutes'!$K107,0)</f>
        <v>0</v>
      </c>
      <c r="I108" s="8" t="n">
        <f aca="false">IFERROR('Start-Class Minutes'!I107/'Start-Class Minutes'!$K107,0)</f>
        <v>0</v>
      </c>
      <c r="J108" s="8" t="n">
        <f aca="false">IFERROR('Start-Class Minutes'!J107/'Start-Class Minutes'!$K107,0)</f>
        <v>0.109616848515605</v>
      </c>
    </row>
    <row r="109" customFormat="false" ht="15" hidden="false" customHeight="false" outlineLevel="0" collapsed="false">
      <c r="A109" s="7" t="s">
        <v>48</v>
      </c>
      <c r="B109" s="7" t="s">
        <v>68</v>
      </c>
      <c r="C109" s="8" t="n">
        <f aca="false">IFERROR('Start-Class Minutes'!C108/'Start-Class Minutes'!$K108,0)</f>
        <v>0.475195164945857</v>
      </c>
      <c r="D109" s="8" t="n">
        <f aca="false">IFERROR('Start-Class Minutes'!D108/'Start-Class Minutes'!$K108,0)</f>
        <v>0.319315033996474</v>
      </c>
      <c r="E109" s="8" t="n">
        <f aca="false">IFERROR('Start-Class Minutes'!E108/'Start-Class Minutes'!$K108,0)</f>
        <v>0.0120876353563334</v>
      </c>
      <c r="F109" s="8" t="n">
        <f aca="false">IFERROR('Start-Class Minutes'!F108/'Start-Class Minutes'!$K108,0)</f>
        <v>0.132963988919668</v>
      </c>
      <c r="G109" s="8" t="n">
        <f aca="false">IFERROR('Start-Class Minutes'!G108/'Start-Class Minutes'!$K108,0)</f>
        <v>0</v>
      </c>
      <c r="H109" s="8" t="n">
        <f aca="false">IFERROR('Start-Class Minutes'!H108/'Start-Class Minutes'!$K108,0)</f>
        <v>0</v>
      </c>
      <c r="I109" s="8" t="n">
        <f aca="false">IFERROR('Start-Class Minutes'!I108/'Start-Class Minutes'!$K108,0)</f>
        <v>0</v>
      </c>
      <c r="J109" s="8" t="n">
        <f aca="false">IFERROR('Start-Class Minutes'!J108/'Start-Class Minutes'!$K108,0)</f>
        <v>0.0604381767816671</v>
      </c>
    </row>
    <row r="110" customFormat="false" ht="15" hidden="false" customHeight="false" outlineLevel="0" collapsed="false">
      <c r="A110" s="7" t="s">
        <v>43</v>
      </c>
      <c r="B110" s="7" t="s">
        <v>69</v>
      </c>
      <c r="C110" s="8" t="n">
        <f aca="false">IFERROR('Start-Class Minutes'!C109/'Start-Class Minutes'!$K109,0)</f>
        <v>0.415065722952477</v>
      </c>
      <c r="D110" s="8" t="n">
        <f aca="false">IFERROR('Start-Class Minutes'!D109/'Start-Class Minutes'!$K109,0)</f>
        <v>0.242669362992922</v>
      </c>
      <c r="E110" s="8" t="n">
        <f aca="false">IFERROR('Start-Class Minutes'!E109/'Start-Class Minutes'!$K109,0)</f>
        <v>0.0121334681496461</v>
      </c>
      <c r="F110" s="8" t="n">
        <f aca="false">IFERROR('Start-Class Minutes'!F109/'Start-Class Minutes'!$K109,0)</f>
        <v>0.122598584428716</v>
      </c>
      <c r="G110" s="8" t="n">
        <f aca="false">IFERROR('Start-Class Minutes'!G109/'Start-Class Minutes'!$K109,0)</f>
        <v>0.0121334681496461</v>
      </c>
      <c r="H110" s="8" t="n">
        <f aca="false">IFERROR('Start-Class Minutes'!H109/'Start-Class Minutes'!$K109,0)</f>
        <v>0</v>
      </c>
      <c r="I110" s="8" t="n">
        <f aca="false">IFERROR('Start-Class Minutes'!I109/'Start-Class Minutes'!$K109,0)</f>
        <v>0.0376643073811931</v>
      </c>
      <c r="J110" s="8" t="n">
        <f aca="false">IFERROR('Start-Class Minutes'!J109/'Start-Class Minutes'!$K109,0)</f>
        <v>0.157735085945399</v>
      </c>
    </row>
    <row r="111" customFormat="false" ht="15" hidden="false" customHeight="false" outlineLevel="0" collapsed="false">
      <c r="A111" s="7" t="s">
        <v>45</v>
      </c>
      <c r="B111" s="7" t="s">
        <v>69</v>
      </c>
      <c r="C111" s="8" t="n">
        <f aca="false">IFERROR('Start-Class Minutes'!C110/'Start-Class Minutes'!$K110,0)</f>
        <v>0.439332659251769</v>
      </c>
      <c r="D111" s="8" t="n">
        <f aca="false">IFERROR('Start-Class Minutes'!D110/'Start-Class Minutes'!$K110,0)</f>
        <v>0.0364004044489383</v>
      </c>
      <c r="E111" s="8" t="n">
        <f aca="false">IFERROR('Start-Class Minutes'!E110/'Start-Class Minutes'!$K110,0)</f>
        <v>0.0242669362992922</v>
      </c>
      <c r="F111" s="8" t="n">
        <f aca="false">IFERROR('Start-Class Minutes'!F110/'Start-Class Minutes'!$K110,0)</f>
        <v>0.233063700707786</v>
      </c>
      <c r="G111" s="8" t="n">
        <f aca="false">IFERROR('Start-Class Minutes'!G110/'Start-Class Minutes'!$K110,0)</f>
        <v>0.145601617795753</v>
      </c>
      <c r="H111" s="8" t="n">
        <f aca="false">IFERROR('Start-Class Minutes'!H110/'Start-Class Minutes'!$K110,0)</f>
        <v>0</v>
      </c>
      <c r="I111" s="8" t="n">
        <f aca="false">IFERROR('Start-Class Minutes'!I110/'Start-Class Minutes'!$K110,0)</f>
        <v>0</v>
      </c>
      <c r="J111" s="8" t="n">
        <f aca="false">IFERROR('Start-Class Minutes'!J110/'Start-Class Minutes'!$K110,0)</f>
        <v>0.121334681496461</v>
      </c>
    </row>
    <row r="112" customFormat="false" ht="15" hidden="false" customHeight="false" outlineLevel="0" collapsed="false">
      <c r="A112" s="7" t="s">
        <v>46</v>
      </c>
      <c r="B112" s="7" t="s">
        <v>69</v>
      </c>
      <c r="C112" s="8" t="n">
        <f aca="false">IFERROR('Start-Class Minutes'!C111/'Start-Class Minutes'!$K111,0)</f>
        <v>0</v>
      </c>
      <c r="D112" s="8" t="n">
        <f aca="false">IFERROR('Start-Class Minutes'!D111/'Start-Class Minutes'!$K111,0)</f>
        <v>0.401668351870576</v>
      </c>
      <c r="E112" s="8" t="n">
        <f aca="false">IFERROR('Start-Class Minutes'!E111/'Start-Class Minutes'!$K111,0)</f>
        <v>0.0728008088978766</v>
      </c>
      <c r="F112" s="8" t="n">
        <f aca="false">IFERROR('Start-Class Minutes'!F111/'Start-Class Minutes'!$K111,0)</f>
        <v>0.0242669362992922</v>
      </c>
      <c r="G112" s="8" t="n">
        <f aca="false">IFERROR('Start-Class Minutes'!G111/'Start-Class Minutes'!$K111,0)</f>
        <v>0.0995955510616785</v>
      </c>
      <c r="H112" s="8" t="n">
        <f aca="false">IFERROR('Start-Class Minutes'!H111/'Start-Class Minutes'!$K111,0)</f>
        <v>0.27906976744186</v>
      </c>
      <c r="I112" s="8" t="n">
        <f aca="false">IFERROR('Start-Class Minutes'!I111/'Start-Class Minutes'!$K111,0)</f>
        <v>0</v>
      </c>
      <c r="J112" s="8" t="n">
        <f aca="false">IFERROR('Start-Class Minutes'!J111/'Start-Class Minutes'!$K111,0)</f>
        <v>0.122598584428716</v>
      </c>
    </row>
    <row r="113" customFormat="false" ht="15" hidden="false" customHeight="false" outlineLevel="0" collapsed="false">
      <c r="A113" s="7" t="s">
        <v>47</v>
      </c>
      <c r="B113" s="7" t="s">
        <v>69</v>
      </c>
      <c r="C113" s="8" t="n">
        <f aca="false">IFERROR('Start-Class Minutes'!C112/'Start-Class Minutes'!$K112,0)</f>
        <v>0.133806386213888</v>
      </c>
      <c r="D113" s="8" t="n">
        <f aca="false">IFERROR('Start-Class Minutes'!D112/'Start-Class Minutes'!$K112,0)</f>
        <v>0.44044602128738</v>
      </c>
      <c r="E113" s="8" t="n">
        <f aca="false">IFERROR('Start-Class Minutes'!E112/'Start-Class Minutes'!$K112,0)</f>
        <v>0.170299036999493</v>
      </c>
      <c r="F113" s="8" t="n">
        <f aca="false">IFERROR('Start-Class Minutes'!F112/'Start-Class Minutes'!$K112,0)</f>
        <v>0.133806386213888</v>
      </c>
      <c r="G113" s="8" t="n">
        <f aca="false">IFERROR('Start-Class Minutes'!G112/'Start-Class Minutes'!$K112,0)</f>
        <v>0.0486568677141409</v>
      </c>
      <c r="H113" s="8" t="n">
        <f aca="false">IFERROR('Start-Class Minutes'!H112/'Start-Class Minutes'!$K112,0)</f>
        <v>0</v>
      </c>
      <c r="I113" s="8" t="n">
        <f aca="false">IFERROR('Start-Class Minutes'!I112/'Start-Class Minutes'!$K112,0)</f>
        <v>0</v>
      </c>
      <c r="J113" s="8" t="n">
        <f aca="false">IFERROR('Start-Class Minutes'!J112/'Start-Class Minutes'!$K112,0)</f>
        <v>0.0729853015712114</v>
      </c>
    </row>
    <row r="114" customFormat="false" ht="15" hidden="false" customHeight="false" outlineLevel="0" collapsed="false">
      <c r="A114" s="7" t="s">
        <v>48</v>
      </c>
      <c r="B114" s="7" t="s">
        <v>69</v>
      </c>
      <c r="C114" s="8" t="n">
        <f aca="false">IFERROR('Start-Class Minutes'!C113/'Start-Class Minutes'!$K113,0)</f>
        <v>0.459909228441755</v>
      </c>
      <c r="D114" s="8" t="n">
        <f aca="false">IFERROR('Start-Class Minutes'!D113/'Start-Class Minutes'!$K113,0)</f>
        <v>0.455370650529501</v>
      </c>
      <c r="E114" s="8" t="n">
        <f aca="false">IFERROR('Start-Class Minutes'!E113/'Start-Class Minutes'!$K113,0)</f>
        <v>0.0121028744326778</v>
      </c>
      <c r="F114" s="8" t="n">
        <f aca="false">IFERROR('Start-Class Minutes'!F113/'Start-Class Minutes'!$K113,0)</f>
        <v>0.0242057488653555</v>
      </c>
      <c r="G114" s="8" t="n">
        <f aca="false">IFERROR('Start-Class Minutes'!G113/'Start-Class Minutes'!$K113,0)</f>
        <v>0.0242057488653555</v>
      </c>
      <c r="H114" s="8" t="n">
        <f aca="false">IFERROR('Start-Class Minutes'!H113/'Start-Class Minutes'!$K113,0)</f>
        <v>0.0121028744326778</v>
      </c>
      <c r="I114" s="8" t="n">
        <f aca="false">IFERROR('Start-Class Minutes'!I113/'Start-Class Minutes'!$K113,0)</f>
        <v>0.0121028744326778</v>
      </c>
      <c r="J114" s="8" t="n">
        <f aca="false">IFERROR('Start-Class Minutes'!J113/'Start-Class Minutes'!$K113,0)</f>
        <v>0</v>
      </c>
    </row>
    <row r="115" customFormat="false" ht="15" hidden="false" customHeight="false" outlineLevel="0" collapsed="false">
      <c r="A115" s="7" t="s">
        <v>43</v>
      </c>
      <c r="B115" s="7" t="s">
        <v>70</v>
      </c>
      <c r="C115" s="8" t="n">
        <f aca="false">IFERROR('Start-Class Minutes'!C114/'Start-Class Minutes'!$K114,0)</f>
        <v>0.367331481949003</v>
      </c>
      <c r="D115" s="8" t="n">
        <f aca="false">IFERROR('Start-Class Minutes'!D114/'Start-Class Minutes'!$K114,0)</f>
        <v>0.352688714970967</v>
      </c>
      <c r="E115" s="8" t="n">
        <f aca="false">IFERROR('Start-Class Minutes'!E114/'Start-Class Minutes'!$K114,0)</f>
        <v>0.0121181519818228</v>
      </c>
      <c r="F115" s="8" t="n">
        <f aca="false">IFERROR('Start-Class Minutes'!F114/'Start-Class Minutes'!$K114,0)</f>
        <v>0.158798283261803</v>
      </c>
      <c r="G115" s="8" t="n">
        <f aca="false">IFERROR('Start-Class Minutes'!G114/'Start-Class Minutes'!$K114,0)</f>
        <v>0.0605907599091139</v>
      </c>
      <c r="H115" s="8" t="n">
        <f aca="false">IFERROR('Start-Class Minutes'!H114/'Start-Class Minutes'!$K114,0)</f>
        <v>0</v>
      </c>
      <c r="I115" s="8" t="n">
        <f aca="false">IFERROR('Start-Class Minutes'!I114/'Start-Class Minutes'!$K114,0)</f>
        <v>0</v>
      </c>
      <c r="J115" s="8" t="n">
        <f aca="false">IFERROR('Start-Class Minutes'!J114/'Start-Class Minutes'!$K114,0)</f>
        <v>0.0484726079272911</v>
      </c>
    </row>
    <row r="116" customFormat="false" ht="15" hidden="false" customHeight="false" outlineLevel="0" collapsed="false">
      <c r="A116" s="7" t="s">
        <v>45</v>
      </c>
      <c r="B116" s="7" t="s">
        <v>70</v>
      </c>
      <c r="C116" s="8" t="n">
        <f aca="false">IFERROR('Start-Class Minutes'!C115/'Start-Class Minutes'!$K115,0)</f>
        <v>0.70648893360161</v>
      </c>
      <c r="D116" s="8" t="n">
        <f aca="false">IFERROR('Start-Class Minutes'!D115/'Start-Class Minutes'!$K115,0)</f>
        <v>0.108651911468813</v>
      </c>
      <c r="E116" s="8" t="n">
        <f aca="false">IFERROR('Start-Class Minutes'!E115/'Start-Class Minutes'!$K115,0)</f>
        <v>0.0870221327967807</v>
      </c>
      <c r="F116" s="8" t="n">
        <f aca="false">IFERROR('Start-Class Minutes'!F115/'Start-Class Minutes'!$K115,0)</f>
        <v>0.0120724346076459</v>
      </c>
      <c r="G116" s="8" t="n">
        <f aca="false">IFERROR('Start-Class Minutes'!G115/'Start-Class Minutes'!$K115,0)</f>
        <v>0.0603621730382294</v>
      </c>
      <c r="H116" s="8" t="n">
        <f aca="false">IFERROR('Start-Class Minutes'!H115/'Start-Class Minutes'!$K115,0)</f>
        <v>0</v>
      </c>
      <c r="I116" s="8" t="n">
        <f aca="false">IFERROR('Start-Class Minutes'!I115/'Start-Class Minutes'!$K115,0)</f>
        <v>0</v>
      </c>
      <c r="J116" s="8" t="n">
        <f aca="false">IFERROR('Start-Class Minutes'!J115/'Start-Class Minutes'!$K115,0)</f>
        <v>0.0254024144869215</v>
      </c>
    </row>
    <row r="117" customFormat="false" ht="15" hidden="false" customHeight="false" outlineLevel="0" collapsed="false">
      <c r="A117" s="7" t="s">
        <v>46</v>
      </c>
      <c r="B117" s="7" t="s">
        <v>70</v>
      </c>
      <c r="C117" s="8" t="n">
        <f aca="false">IFERROR('Start-Class Minutes'!C116/'Start-Class Minutes'!$K116,0)</f>
        <v>0.341001011122346</v>
      </c>
      <c r="D117" s="8" t="n">
        <f aca="false">IFERROR('Start-Class Minutes'!D116/'Start-Class Minutes'!$K116,0)</f>
        <v>0.134732052578362</v>
      </c>
      <c r="E117" s="8" t="n">
        <f aca="false">IFERROR('Start-Class Minutes'!E116/'Start-Class Minutes'!$K116,0)</f>
        <v>0.0728008088978766</v>
      </c>
      <c r="F117" s="8" t="n">
        <f aca="false">IFERROR('Start-Class Minutes'!F116/'Start-Class Minutes'!$K116,0)</f>
        <v>0.0874620829120324</v>
      </c>
      <c r="G117" s="8" t="n">
        <f aca="false">IFERROR('Start-Class Minutes'!G116/'Start-Class Minutes'!$K116,0)</f>
        <v>0.0849342770475228</v>
      </c>
      <c r="H117" s="8" t="n">
        <f aca="false">IFERROR('Start-Class Minutes'!H116/'Start-Class Minutes'!$K116,0)</f>
        <v>0.121334681496461</v>
      </c>
      <c r="I117" s="8" t="n">
        <f aca="false">IFERROR('Start-Class Minutes'!I116/'Start-Class Minutes'!$K116,0)</f>
        <v>0</v>
      </c>
      <c r="J117" s="8" t="n">
        <f aca="false">IFERROR('Start-Class Minutes'!J116/'Start-Class Minutes'!$K116,0)</f>
        <v>0.157735085945399</v>
      </c>
    </row>
    <row r="118" customFormat="false" ht="15" hidden="false" customHeight="false" outlineLevel="0" collapsed="false">
      <c r="A118" s="7" t="s">
        <v>47</v>
      </c>
      <c r="B118" s="7" t="s">
        <v>70</v>
      </c>
      <c r="C118" s="8" t="n">
        <f aca="false">IFERROR('Start-Class Minutes'!C117/'Start-Class Minutes'!$K117,0)</f>
        <v>0.145417823781873</v>
      </c>
      <c r="D118" s="8" t="n">
        <f aca="false">IFERROR('Start-Class Minutes'!D117/'Start-Class Minutes'!$K117,0)</f>
        <v>0.193890431709164</v>
      </c>
      <c r="E118" s="8" t="n">
        <f aca="false">IFERROR('Start-Class Minutes'!E117/'Start-Class Minutes'!$K117,0)</f>
        <v>0.122443827316334</v>
      </c>
      <c r="F118" s="8" t="n">
        <f aca="false">IFERROR('Start-Class Minutes'!F117/'Start-Class Minutes'!$K117,0)</f>
        <v>0.161322898258016</v>
      </c>
      <c r="G118" s="8" t="n">
        <f aca="false">IFERROR('Start-Class Minutes'!G117/'Start-Class Minutes'!$K117,0)</f>
        <v>0.0969452158545822</v>
      </c>
      <c r="H118" s="8" t="n">
        <f aca="false">IFERROR('Start-Class Minutes'!H117/'Start-Class Minutes'!$K117,0)</f>
        <v>0.0969452158545822</v>
      </c>
      <c r="I118" s="8" t="n">
        <f aca="false">IFERROR('Start-Class Minutes'!I117/'Start-Class Minutes'!$K117,0)</f>
        <v>0</v>
      </c>
      <c r="J118" s="8" t="n">
        <f aca="false">IFERROR('Start-Class Minutes'!J117/'Start-Class Minutes'!$K117,0)</f>
        <v>0.183034587225448</v>
      </c>
    </row>
    <row r="119" customFormat="false" ht="15" hidden="false" customHeight="false" outlineLevel="0" collapsed="false">
      <c r="A119" s="7" t="s">
        <v>48</v>
      </c>
      <c r="B119" s="7" t="s">
        <v>70</v>
      </c>
      <c r="C119" s="8" t="n">
        <f aca="false">IFERROR('Start-Class Minutes'!C118/'Start-Class Minutes'!$K118,0)</f>
        <v>0.108651911468813</v>
      </c>
      <c r="D119" s="8" t="n">
        <f aca="false">IFERROR('Start-Class Minutes'!D118/'Start-Class Minutes'!$K118,0)</f>
        <v>0.0603621730382294</v>
      </c>
      <c r="E119" s="8" t="n">
        <f aca="false">IFERROR('Start-Class Minutes'!E118/'Start-Class Minutes'!$K118,0)</f>
        <v>0.358903420523139</v>
      </c>
      <c r="F119" s="8" t="n">
        <f aca="false">IFERROR('Start-Class Minutes'!F118/'Start-Class Minutes'!$K118,0)</f>
        <v>0.0603621730382294</v>
      </c>
      <c r="G119" s="8" t="n">
        <f aca="false">IFERROR('Start-Class Minutes'!G118/'Start-Class Minutes'!$K118,0)</f>
        <v>0.156941649899396</v>
      </c>
      <c r="H119" s="8" t="n">
        <f aca="false">IFERROR('Start-Class Minutes'!H118/'Start-Class Minutes'!$K118,0)</f>
        <v>0.0845070422535211</v>
      </c>
      <c r="I119" s="8" t="n">
        <f aca="false">IFERROR('Start-Class Minutes'!I118/'Start-Class Minutes'!$K118,0)</f>
        <v>0</v>
      </c>
      <c r="J119" s="8" t="n">
        <f aca="false">IFERROR('Start-Class Minutes'!J118/'Start-Class Minutes'!$K118,0)</f>
        <v>0.170271629778672</v>
      </c>
    </row>
    <row r="120" customFormat="false" ht="15" hidden="false" customHeight="false" outlineLevel="0" collapsed="false">
      <c r="A120" s="7" t="s">
        <v>43</v>
      </c>
      <c r="B120" s="7" t="s">
        <v>71</v>
      </c>
      <c r="C120" s="8" t="n">
        <f aca="false">IFERROR('Start-Class Minutes'!C119/'Start-Class Minutes'!$K119,0)</f>
        <v>0.462240243284339</v>
      </c>
      <c r="D120" s="8" t="n">
        <f aca="false">IFERROR('Start-Class Minutes'!D119/'Start-Class Minutes'!$K119,0)</f>
        <v>0.268879878357831</v>
      </c>
      <c r="E120" s="8" t="n">
        <f aca="false">IFERROR('Start-Class Minutes'!E119/'Start-Class Minutes'!$K119,0)</f>
        <v>0.013431322858591</v>
      </c>
      <c r="F120" s="8" t="n">
        <f aca="false">IFERROR('Start-Class Minutes'!F119/'Start-Class Minutes'!$K119,0)</f>
        <v>0.133806386213888</v>
      </c>
      <c r="G120" s="8" t="n">
        <f aca="false">IFERROR('Start-Class Minutes'!G119/'Start-Class Minutes'!$K119,0)</f>
        <v>0.0851495184997466</v>
      </c>
      <c r="H120" s="8" t="n">
        <f aca="false">IFERROR('Start-Class Minutes'!H119/'Start-Class Minutes'!$K119,0)</f>
        <v>0</v>
      </c>
      <c r="I120" s="8" t="n">
        <f aca="false">IFERROR('Start-Class Minutes'!I119/'Start-Class Minutes'!$K119,0)</f>
        <v>0</v>
      </c>
      <c r="J120" s="8" t="n">
        <f aca="false">IFERROR('Start-Class Minutes'!J119/'Start-Class Minutes'!$K119,0)</f>
        <v>0.0364926507856057</v>
      </c>
    </row>
    <row r="121" customFormat="false" ht="15" hidden="false" customHeight="false" outlineLevel="0" collapsed="false">
      <c r="A121" s="7" t="s">
        <v>45</v>
      </c>
      <c r="B121" s="7" t="s">
        <v>71</v>
      </c>
      <c r="C121" s="8" t="n">
        <f aca="false">IFERROR('Start-Class Minutes'!C120/'Start-Class Minutes'!$K120,0)</f>
        <v>0.210060667340748</v>
      </c>
      <c r="D121" s="8" t="n">
        <f aca="false">IFERROR('Start-Class Minutes'!D120/'Start-Class Minutes'!$K120,0)</f>
        <v>0.473205257836198</v>
      </c>
      <c r="E121" s="8" t="n">
        <f aca="false">IFERROR('Start-Class Minutes'!E120/'Start-Class Minutes'!$K120,0)</f>
        <v>0.0983316481294237</v>
      </c>
      <c r="F121" s="8" t="n">
        <f aca="false">IFERROR('Start-Class Minutes'!F120/'Start-Class Minutes'!$K120,0)</f>
        <v>0.0121334681496461</v>
      </c>
      <c r="G121" s="8" t="n">
        <f aca="false">IFERROR('Start-Class Minutes'!G120/'Start-Class Minutes'!$K120,0)</f>
        <v>0.133468149646107</v>
      </c>
      <c r="H121" s="8" t="n">
        <f aca="false">IFERROR('Start-Class Minutes'!H120/'Start-Class Minutes'!$K120,0)</f>
        <v>0.0121334681496461</v>
      </c>
      <c r="I121" s="8" t="n">
        <f aca="false">IFERROR('Start-Class Minutes'!I120/'Start-Class Minutes'!$K120,0)</f>
        <v>0</v>
      </c>
      <c r="J121" s="8" t="n">
        <f aca="false">IFERROR('Start-Class Minutes'!J120/'Start-Class Minutes'!$K120,0)</f>
        <v>0.0606673407482305</v>
      </c>
    </row>
    <row r="122" customFormat="false" ht="15" hidden="false" customHeight="false" outlineLevel="0" collapsed="false">
      <c r="A122" s="7" t="s">
        <v>46</v>
      </c>
      <c r="B122" s="7" t="s">
        <v>71</v>
      </c>
      <c r="C122" s="8" t="n">
        <f aca="false">IFERROR('Start-Class Minutes'!C121/'Start-Class Minutes'!$K121,0)</f>
        <v>0.412537917087968</v>
      </c>
      <c r="D122" s="8" t="n">
        <f aca="false">IFERROR('Start-Class Minutes'!D121/'Start-Class Minutes'!$K121,0)</f>
        <v>0.319261880687563</v>
      </c>
      <c r="E122" s="8" t="n">
        <f aca="false">IFERROR('Start-Class Minutes'!E121/'Start-Class Minutes'!$K121,0)</f>
        <v>0.0983316481294237</v>
      </c>
      <c r="F122" s="8" t="n">
        <f aca="false">IFERROR('Start-Class Minutes'!F121/'Start-Class Minutes'!$K121,0)</f>
        <v>0.0849342770475228</v>
      </c>
      <c r="G122" s="8" t="n">
        <f aca="false">IFERROR('Start-Class Minutes'!G121/'Start-Class Minutes'!$K121,0)</f>
        <v>0.0606673407482305</v>
      </c>
      <c r="H122" s="8" t="n">
        <f aca="false">IFERROR('Start-Class Minutes'!H121/'Start-Class Minutes'!$K121,0)</f>
        <v>0</v>
      </c>
      <c r="I122" s="8" t="n">
        <f aca="false">IFERROR('Start-Class Minutes'!I121/'Start-Class Minutes'!$K121,0)</f>
        <v>0</v>
      </c>
      <c r="J122" s="8" t="n">
        <f aca="false">IFERROR('Start-Class Minutes'!J121/'Start-Class Minutes'!$K121,0)</f>
        <v>0.0242669362992922</v>
      </c>
    </row>
    <row r="123" customFormat="false" ht="15" hidden="false" customHeight="false" outlineLevel="0" collapsed="false">
      <c r="A123" s="7" t="s">
        <v>47</v>
      </c>
      <c r="B123" s="7" t="s">
        <v>71</v>
      </c>
      <c r="C123" s="8" t="n">
        <f aca="false">IFERROR('Start-Class Minutes'!C122/'Start-Class Minutes'!$K122,0)</f>
        <v>0.0859808371154816</v>
      </c>
      <c r="D123" s="8" t="n">
        <f aca="false">IFERROR('Start-Class Minutes'!D122/'Start-Class Minutes'!$K122,0)</f>
        <v>0.254160363086233</v>
      </c>
      <c r="E123" s="8" t="n">
        <f aca="false">IFERROR('Start-Class Minutes'!E122/'Start-Class Minutes'!$K122,0)</f>
        <v>0.38023197175996</v>
      </c>
      <c r="F123" s="8" t="n">
        <f aca="false">IFERROR('Start-Class Minutes'!F122/'Start-Class Minutes'!$K122,0)</f>
        <v>0.0859808371154816</v>
      </c>
      <c r="G123" s="8" t="n">
        <f aca="false">IFERROR('Start-Class Minutes'!G122/'Start-Class Minutes'!$K122,0)</f>
        <v>0.157337367624811</v>
      </c>
      <c r="H123" s="8" t="n">
        <f aca="false">IFERROR('Start-Class Minutes'!H122/'Start-Class Minutes'!$K122,0)</f>
        <v>0.0242057488653555</v>
      </c>
      <c r="I123" s="8" t="n">
        <f aca="false">IFERROR('Start-Class Minutes'!I122/'Start-Class Minutes'!$K122,0)</f>
        <v>0</v>
      </c>
      <c r="J123" s="8" t="n">
        <f aca="false">IFERROR('Start-Class Minutes'!J122/'Start-Class Minutes'!$K122,0)</f>
        <v>0.0121028744326778</v>
      </c>
    </row>
    <row r="124" customFormat="false" ht="15" hidden="false" customHeight="false" outlineLevel="0" collapsed="false">
      <c r="A124" s="7" t="s">
        <v>48</v>
      </c>
      <c r="B124" s="7" t="s">
        <v>71</v>
      </c>
      <c r="C124" s="8" t="n">
        <f aca="false">IFERROR('Start-Class Minutes'!C123/'Start-Class Minutes'!$K123,0)</f>
        <v>0.294102758795242</v>
      </c>
      <c r="D124" s="8" t="n">
        <f aca="false">IFERROR('Start-Class Minutes'!D123/'Start-Class Minutes'!$K123,0)</f>
        <v>0.485952923310554</v>
      </c>
      <c r="E124" s="8" t="n">
        <f aca="false">IFERROR('Start-Class Minutes'!E123/'Start-Class Minutes'!$K123,0)</f>
        <v>0</v>
      </c>
      <c r="F124" s="8" t="n">
        <f aca="false">IFERROR('Start-Class Minutes'!F123/'Start-Class Minutes'!$K123,0)</f>
        <v>0.121488230827639</v>
      </c>
      <c r="G124" s="8" t="n">
        <f aca="false">IFERROR('Start-Class Minutes'!G123/'Start-Class Minutes'!$K123,0)</f>
        <v>0.0364464692482916</v>
      </c>
      <c r="H124" s="8" t="n">
        <f aca="false">IFERROR('Start-Class Minutes'!H123/'Start-Class Minutes'!$K123,0)</f>
        <v>0</v>
      </c>
      <c r="I124" s="8" t="n">
        <f aca="false">IFERROR('Start-Class Minutes'!I123/'Start-Class Minutes'!$K123,0)</f>
        <v>0</v>
      </c>
      <c r="J124" s="8" t="n">
        <f aca="false">IFERROR('Start-Class Minutes'!J123/'Start-Class Minutes'!$K123,0)</f>
        <v>0.0620096178182739</v>
      </c>
    </row>
    <row r="125" customFormat="false" ht="15" hidden="false" customHeight="false" outlineLevel="0" collapsed="false">
      <c r="A125" s="7" t="s">
        <v>43</v>
      </c>
      <c r="B125" s="7" t="s">
        <v>72</v>
      </c>
      <c r="C125" s="8" t="n">
        <f aca="false">IFERROR('Start-Class Minutes'!C124/'Start-Class Minutes'!$K124,0)</f>
        <v>0.206791687785099</v>
      </c>
      <c r="D125" s="8" t="n">
        <f aca="false">IFERROR('Start-Class Minutes'!D124/'Start-Class Minutes'!$K124,0)</f>
        <v>0.0973137354282818</v>
      </c>
      <c r="E125" s="8" t="n">
        <f aca="false">IFERROR('Start-Class Minutes'!E124/'Start-Class Minutes'!$K124,0)</f>
        <v>0.0243284338570705</v>
      </c>
      <c r="F125" s="8" t="n">
        <f aca="false">IFERROR('Start-Class Minutes'!F124/'Start-Class Minutes'!$K124,0)</f>
        <v>0.135073492143943</v>
      </c>
      <c r="G125" s="8" t="n">
        <f aca="false">IFERROR('Start-Class Minutes'!G124/'Start-Class Minutes'!$K124,0)</f>
        <v>0.121642169285352</v>
      </c>
      <c r="H125" s="8" t="n">
        <f aca="false">IFERROR('Start-Class Minutes'!H124/'Start-Class Minutes'!$K124,0)</f>
        <v>0.0121642169285352</v>
      </c>
      <c r="I125" s="8" t="n">
        <f aca="false">IFERROR('Start-Class Minutes'!I124/'Start-Class Minutes'!$K124,0)</f>
        <v>0</v>
      </c>
      <c r="J125" s="8" t="n">
        <f aca="false">IFERROR('Start-Class Minutes'!J124/'Start-Class Minutes'!$K124,0)</f>
        <v>0.402686264571718</v>
      </c>
    </row>
    <row r="126" customFormat="false" ht="15" hidden="false" customHeight="false" outlineLevel="0" collapsed="false">
      <c r="A126" s="7" t="s">
        <v>45</v>
      </c>
      <c r="B126" s="7" t="s">
        <v>72</v>
      </c>
      <c r="C126" s="8" t="n">
        <f aca="false">IFERROR('Start-Class Minutes'!C125/'Start-Class Minutes'!$K125,0)</f>
        <v>0.414850481500253</v>
      </c>
      <c r="D126" s="8" t="n">
        <f aca="false">IFERROR('Start-Class Minutes'!D125/'Start-Class Minutes'!$K125,0)</f>
        <v>0.208058793715155</v>
      </c>
      <c r="E126" s="8" t="n">
        <f aca="false">IFERROR('Start-Class Minutes'!E125/'Start-Class Minutes'!$K125,0)</f>
        <v>0.0364926507856057</v>
      </c>
      <c r="F126" s="8" t="n">
        <f aca="false">IFERROR('Start-Class Minutes'!F125/'Start-Class Minutes'!$K125,0)</f>
        <v>0.0973137354282818</v>
      </c>
      <c r="G126" s="8" t="n">
        <f aca="false">IFERROR('Start-Class Minutes'!G125/'Start-Class Minutes'!$K125,0)</f>
        <v>0.0121642169285352</v>
      </c>
      <c r="H126" s="8" t="n">
        <f aca="false">IFERROR('Start-Class Minutes'!H125/'Start-Class Minutes'!$K125,0)</f>
        <v>0</v>
      </c>
      <c r="I126" s="8" t="n">
        <f aca="false">IFERROR('Start-Class Minutes'!I125/'Start-Class Minutes'!$K125,0)</f>
        <v>0.0973137354282818</v>
      </c>
      <c r="J126" s="8" t="n">
        <f aca="false">IFERROR('Start-Class Minutes'!J125/'Start-Class Minutes'!$K125,0)</f>
        <v>0.133806386213888</v>
      </c>
    </row>
    <row r="127" customFormat="false" ht="15" hidden="false" customHeight="false" outlineLevel="0" collapsed="false">
      <c r="A127" s="7" t="s">
        <v>46</v>
      </c>
      <c r="B127" s="7" t="s">
        <v>72</v>
      </c>
      <c r="C127" s="8" t="n">
        <f aca="false">IFERROR('Start-Class Minutes'!C126/'Start-Class Minutes'!$K126,0)</f>
        <v>0.121981891348089</v>
      </c>
      <c r="D127" s="8" t="n">
        <f aca="false">IFERROR('Start-Class Minutes'!D126/'Start-Class Minutes'!$K126,0)</f>
        <v>0.160714285714286</v>
      </c>
      <c r="E127" s="8" t="n">
        <f aca="false">IFERROR('Start-Class Minutes'!E126/'Start-Class Minutes'!$K126,0)</f>
        <v>0.120724346076459</v>
      </c>
      <c r="F127" s="8" t="n">
        <f aca="false">IFERROR('Start-Class Minutes'!F126/'Start-Class Minutes'!$K126,0)</f>
        <v>0.0978370221327968</v>
      </c>
      <c r="G127" s="8" t="n">
        <f aca="false">IFERROR('Start-Class Minutes'!G126/'Start-Class Minutes'!$K126,0)</f>
        <v>0.207746478873239</v>
      </c>
      <c r="H127" s="8" t="n">
        <f aca="false">IFERROR('Start-Class Minutes'!H126/'Start-Class Minutes'!$K126,0)</f>
        <v>0.0254024144869215</v>
      </c>
      <c r="I127" s="8" t="n">
        <f aca="false">IFERROR('Start-Class Minutes'!I126/'Start-Class Minutes'!$K126,0)</f>
        <v>0.0120724346076459</v>
      </c>
      <c r="J127" s="8" t="n">
        <f aca="false">IFERROR('Start-Class Minutes'!J126/'Start-Class Minutes'!$K126,0)</f>
        <v>0.253521126760563</v>
      </c>
    </row>
    <row r="128" customFormat="false" ht="15" hidden="false" customHeight="false" outlineLevel="0" collapsed="false">
      <c r="A128" s="7" t="s">
        <v>47</v>
      </c>
      <c r="B128" s="7" t="s">
        <v>72</v>
      </c>
      <c r="C128" s="8" t="n">
        <f aca="false">IFERROR('Start-Class Minutes'!C127/'Start-Class Minutes'!$K127,0)</f>
        <v>0.413801820020222</v>
      </c>
      <c r="D128" s="8" t="n">
        <f aca="false">IFERROR('Start-Class Minutes'!D127/'Start-Class Minutes'!$K127,0)</f>
        <v>0.366531850353893</v>
      </c>
      <c r="E128" s="8" t="n">
        <f aca="false">IFERROR('Start-Class Minutes'!E127/'Start-Class Minutes'!$K127,0)</f>
        <v>0.0485338725985844</v>
      </c>
      <c r="F128" s="8" t="n">
        <f aca="false">IFERROR('Start-Class Minutes'!F127/'Start-Class Minutes'!$K127,0)</f>
        <v>0.109201213346815</v>
      </c>
      <c r="G128" s="8" t="n">
        <f aca="false">IFERROR('Start-Class Minutes'!G127/'Start-Class Minutes'!$K127,0)</f>
        <v>0</v>
      </c>
      <c r="H128" s="8" t="n">
        <f aca="false">IFERROR('Start-Class Minutes'!H127/'Start-Class Minutes'!$K127,0)</f>
        <v>0</v>
      </c>
      <c r="I128" s="8" t="n">
        <f aca="false">IFERROR('Start-Class Minutes'!I127/'Start-Class Minutes'!$K127,0)</f>
        <v>0</v>
      </c>
      <c r="J128" s="8" t="n">
        <f aca="false">IFERROR('Start-Class Minutes'!J127/'Start-Class Minutes'!$K127,0)</f>
        <v>0.0619312436804853</v>
      </c>
    </row>
    <row r="129" customFormat="false" ht="15" hidden="false" customHeight="false" outlineLevel="0" collapsed="false">
      <c r="A129" s="7" t="s">
        <v>48</v>
      </c>
      <c r="B129" s="7" t="s">
        <v>72</v>
      </c>
      <c r="C129" s="8" t="n">
        <f aca="false">IFERROR('Start-Class Minutes'!C128/'Start-Class Minutes'!$K128,0)</f>
        <v>0.403442166540116</v>
      </c>
      <c r="D129" s="8" t="n">
        <f aca="false">IFERROR('Start-Class Minutes'!D128/'Start-Class Minutes'!$K128,0)</f>
        <v>0.535813718046064</v>
      </c>
      <c r="E129" s="8" t="n">
        <f aca="false">IFERROR('Start-Class Minutes'!E128/'Start-Class Minutes'!$K128,0)</f>
        <v>0</v>
      </c>
      <c r="F129" s="8" t="n">
        <f aca="false">IFERROR('Start-Class Minutes'!F128/'Start-Class Minutes'!$K128,0)</f>
        <v>0.0364464692482916</v>
      </c>
      <c r="G129" s="8" t="n">
        <f aca="false">IFERROR('Start-Class Minutes'!G128/'Start-Class Minutes'!$K128,0)</f>
        <v>0.0242976461655277</v>
      </c>
      <c r="H129" s="8" t="n">
        <f aca="false">IFERROR('Start-Class Minutes'!H128/'Start-Class Minutes'!$K128,0)</f>
        <v>0</v>
      </c>
      <c r="I129" s="8" t="n">
        <f aca="false">IFERROR('Start-Class Minutes'!I128/'Start-Class Minutes'!$K128,0)</f>
        <v>0</v>
      </c>
      <c r="J129" s="8" t="n">
        <f aca="false">IFERROR('Start-Class Minutes'!J128/'Start-Class Minutes'!$K128,0)</f>
        <v>0</v>
      </c>
    </row>
    <row r="130" customFormat="false" ht="15" hidden="false" customHeight="false" outlineLevel="0" collapsed="false">
      <c r="A130" s="7" t="s">
        <v>43</v>
      </c>
      <c r="B130" s="7" t="s">
        <v>73</v>
      </c>
      <c r="C130" s="8" t="n">
        <f aca="false">IFERROR('Start-Class Minutes'!C129/'Start-Class Minutes'!$K129,0)</f>
        <v>0</v>
      </c>
      <c r="D130" s="8" t="n">
        <f aca="false">IFERROR('Start-Class Minutes'!D129/'Start-Class Minutes'!$K129,0)</f>
        <v>0.0848270638727594</v>
      </c>
      <c r="E130" s="8" t="n">
        <f aca="false">IFERROR('Start-Class Minutes'!E129/'Start-Class Minutes'!$K129,0)</f>
        <v>0.266599343600101</v>
      </c>
      <c r="F130" s="8" t="n">
        <f aca="false">IFERROR('Start-Class Minutes'!F129/'Start-Class Minutes'!$K129,0)</f>
        <v>0.147942438778086</v>
      </c>
      <c r="G130" s="8" t="n">
        <f aca="false">IFERROR('Start-Class Minutes'!G129/'Start-Class Minutes'!$K129,0)</f>
        <v>0.242363039636455</v>
      </c>
      <c r="H130" s="8" t="n">
        <f aca="false">IFERROR('Start-Class Minutes'!H129/'Start-Class Minutes'!$K129,0)</f>
        <v>0.181772279727342</v>
      </c>
      <c r="I130" s="8" t="n">
        <f aca="false">IFERROR('Start-Class Minutes'!I129/'Start-Class Minutes'!$K129,0)</f>
        <v>0</v>
      </c>
      <c r="J130" s="8" t="n">
        <f aca="false">IFERROR('Start-Class Minutes'!J129/'Start-Class Minutes'!$K129,0)</f>
        <v>0.0764958343852562</v>
      </c>
    </row>
    <row r="131" customFormat="false" ht="15" hidden="false" customHeight="false" outlineLevel="0" collapsed="false">
      <c r="A131" s="7" t="s">
        <v>45</v>
      </c>
      <c r="B131" s="7" t="s">
        <v>73</v>
      </c>
      <c r="C131" s="8" t="n">
        <f aca="false">IFERROR('Start-Class Minutes'!C130/'Start-Class Minutes'!$K130,0)</f>
        <v>0.745839636913767</v>
      </c>
      <c r="D131" s="8" t="n">
        <f aca="false">IFERROR('Start-Class Minutes'!D130/'Start-Class Minutes'!$K130,0)</f>
        <v>0.0968229954614221</v>
      </c>
      <c r="E131" s="8" t="n">
        <f aca="false">IFERROR('Start-Class Minutes'!E130/'Start-Class Minutes'!$K130,0)</f>
        <v>0.145234493192133</v>
      </c>
      <c r="F131" s="8" t="n">
        <f aca="false">IFERROR('Start-Class Minutes'!F130/'Start-Class Minutes'!$K130,0)</f>
        <v>0</v>
      </c>
      <c r="G131" s="8" t="n">
        <f aca="false">IFERROR('Start-Class Minutes'!G130/'Start-Class Minutes'!$K130,0)</f>
        <v>0</v>
      </c>
      <c r="H131" s="8" t="n">
        <f aca="false">IFERROR('Start-Class Minutes'!H130/'Start-Class Minutes'!$K130,0)</f>
        <v>0</v>
      </c>
      <c r="I131" s="8" t="n">
        <f aca="false">IFERROR('Start-Class Minutes'!I130/'Start-Class Minutes'!$K130,0)</f>
        <v>0</v>
      </c>
      <c r="J131" s="8" t="n">
        <f aca="false">IFERROR('Start-Class Minutes'!J130/'Start-Class Minutes'!$K130,0)</f>
        <v>0.0121028744326778</v>
      </c>
    </row>
    <row r="132" customFormat="false" ht="15" hidden="false" customHeight="false" outlineLevel="0" collapsed="false">
      <c r="A132" s="7" t="s">
        <v>46</v>
      </c>
      <c r="B132" s="7" t="s">
        <v>73</v>
      </c>
      <c r="C132" s="8" t="n">
        <f aca="false">IFERROR('Start-Class Minutes'!C131/'Start-Class Minutes'!$K131,0)</f>
        <v>0.559808612440191</v>
      </c>
      <c r="D132" s="8" t="n">
        <f aca="false">IFERROR('Start-Class Minutes'!D131/'Start-Class Minutes'!$K131,0)</f>
        <v>0.0483505414253337</v>
      </c>
      <c r="E132" s="8" t="n">
        <f aca="false">IFERROR('Start-Class Minutes'!E131/'Start-Class Minutes'!$K131,0)</f>
        <v>0.391840846134475</v>
      </c>
      <c r="F132" s="8" t="n">
        <f aca="false">IFERROR('Start-Class Minutes'!F131/'Start-Class Minutes'!$K131,0)</f>
        <v>0</v>
      </c>
      <c r="G132" s="8" t="n">
        <f aca="false">IFERROR('Start-Class Minutes'!G131/'Start-Class Minutes'!$K131,0)</f>
        <v>0</v>
      </c>
      <c r="H132" s="8" t="n">
        <f aca="false">IFERROR('Start-Class Minutes'!H131/'Start-Class Minutes'!$K131,0)</f>
        <v>0</v>
      </c>
      <c r="I132" s="8" t="n">
        <f aca="false">IFERROR('Start-Class Minutes'!I131/'Start-Class Minutes'!$K131,0)</f>
        <v>0</v>
      </c>
      <c r="J132" s="8" t="n">
        <f aca="false">IFERROR('Start-Class Minutes'!J131/'Start-Class Minutes'!$K131,0)</f>
        <v>0</v>
      </c>
    </row>
    <row r="133" customFormat="false" ht="15" hidden="false" customHeight="false" outlineLevel="0" collapsed="false">
      <c r="A133" s="7" t="s">
        <v>47</v>
      </c>
      <c r="B133" s="7" t="s">
        <v>73</v>
      </c>
      <c r="C133" s="8" t="n">
        <f aca="false">IFERROR('Start-Class Minutes'!C132/'Start-Class Minutes'!$K132,0)</f>
        <v>0.388832997987928</v>
      </c>
      <c r="D133" s="8" t="n">
        <f aca="false">IFERROR('Start-Class Minutes'!D132/'Start-Class Minutes'!$K132,0)</f>
        <v>0.414235412474849</v>
      </c>
      <c r="E133" s="8" t="n">
        <f aca="false">IFERROR('Start-Class Minutes'!E132/'Start-Class Minutes'!$K132,0)</f>
        <v>0.0374748490945674</v>
      </c>
      <c r="F133" s="8" t="n">
        <f aca="false">IFERROR('Start-Class Minutes'!F132/'Start-Class Minutes'!$K132,0)</f>
        <v>0.0978370221327968</v>
      </c>
      <c r="G133" s="8" t="n">
        <f aca="false">IFERROR('Start-Class Minutes'!G132/'Start-Class Minutes'!$K132,0)</f>
        <v>0.0133299798792757</v>
      </c>
      <c r="H133" s="8" t="n">
        <f aca="false">IFERROR('Start-Class Minutes'!H132/'Start-Class Minutes'!$K132,0)</f>
        <v>0</v>
      </c>
      <c r="I133" s="8" t="n">
        <f aca="false">IFERROR('Start-Class Minutes'!I132/'Start-Class Minutes'!$K132,0)</f>
        <v>0.0241448692152918</v>
      </c>
      <c r="J133" s="8" t="n">
        <f aca="false">IFERROR('Start-Class Minutes'!J132/'Start-Class Minutes'!$K132,0)</f>
        <v>0.0241448692152918</v>
      </c>
    </row>
    <row r="134" customFormat="false" ht="15" hidden="false" customHeight="false" outlineLevel="0" collapsed="false">
      <c r="A134" s="7" t="s">
        <v>48</v>
      </c>
      <c r="B134" s="7" t="s">
        <v>73</v>
      </c>
      <c r="C134" s="8" t="n">
        <f aca="false">IFERROR('Start-Class Minutes'!C133/'Start-Class Minutes'!$K133,0)</f>
        <v>0.306251581878006</v>
      </c>
      <c r="D134" s="8" t="n">
        <f aca="false">IFERROR('Start-Class Minutes'!D133/'Start-Class Minutes'!$K133,0)</f>
        <v>0.267274107820805</v>
      </c>
      <c r="E134" s="8" t="n">
        <f aca="false">IFERROR('Start-Class Minutes'!E133/'Start-Class Minutes'!$K133,0)</f>
        <v>0.134902556314857</v>
      </c>
      <c r="F134" s="8" t="n">
        <f aca="false">IFERROR('Start-Class Minutes'!F133/'Start-Class Minutes'!$K133,0)</f>
        <v>0.0607441154138193</v>
      </c>
      <c r="G134" s="8" t="n">
        <f aca="false">IFERROR('Start-Class Minutes'!G133/'Start-Class Minutes'!$K133,0)</f>
        <v>0.145785876993166</v>
      </c>
      <c r="H134" s="8" t="n">
        <f aca="false">IFERROR('Start-Class Minutes'!H133/'Start-Class Minutes'!$K133,0)</f>
        <v>0</v>
      </c>
      <c r="I134" s="8" t="n">
        <f aca="false">IFERROR('Start-Class Minutes'!I133/'Start-Class Minutes'!$K133,0)</f>
        <v>0</v>
      </c>
      <c r="J134" s="8" t="n">
        <f aca="false">IFERROR('Start-Class Minutes'!J133/'Start-Class Minutes'!$K133,0)</f>
        <v>0.085041761579347</v>
      </c>
    </row>
    <row r="135" customFormat="false" ht="15" hidden="false" customHeight="false" outlineLevel="0" collapsed="false">
      <c r="A135" s="7" t="s">
        <v>43</v>
      </c>
      <c r="B135" s="7" t="s">
        <v>74</v>
      </c>
      <c r="C135" s="8" t="n">
        <f aca="false">IFERROR('Start-Class Minutes'!C134/'Start-Class Minutes'!$K134,0)</f>
        <v>0.292097955061853</v>
      </c>
      <c r="D135" s="8" t="n">
        <f aca="false">IFERROR('Start-Class Minutes'!D134/'Start-Class Minutes'!$K134,0)</f>
        <v>0.378187326432719</v>
      </c>
      <c r="E135" s="8" t="n">
        <f aca="false">IFERROR('Start-Class Minutes'!E134/'Start-Class Minutes'!$K134,0)</f>
        <v>0.0121181519818228</v>
      </c>
      <c r="F135" s="8" t="n">
        <f aca="false">IFERROR('Start-Class Minutes'!F134/'Start-Class Minutes'!$K134,0)</f>
        <v>0.0254986114617521</v>
      </c>
      <c r="G135" s="8" t="n">
        <f aca="false">IFERROR('Start-Class Minutes'!G134/'Start-Class Minutes'!$K134,0)</f>
        <v>0.121181519818228</v>
      </c>
      <c r="H135" s="8" t="n">
        <f aca="false">IFERROR('Start-Class Minutes'!H134/'Start-Class Minutes'!$K134,0)</f>
        <v>0.0121181519818228</v>
      </c>
      <c r="I135" s="8" t="n">
        <f aca="false">IFERROR('Start-Class Minutes'!I134/'Start-Class Minutes'!$K134,0)</f>
        <v>0</v>
      </c>
      <c r="J135" s="8" t="n">
        <f aca="false">IFERROR('Start-Class Minutes'!J134/'Start-Class Minutes'!$K134,0)</f>
        <v>0.158798283261803</v>
      </c>
    </row>
    <row r="136" customFormat="false" ht="15" hidden="false" customHeight="false" outlineLevel="0" collapsed="false">
      <c r="A136" s="7" t="s">
        <v>45</v>
      </c>
      <c r="B136" s="7" t="s">
        <v>74</v>
      </c>
      <c r="C136" s="8" t="n">
        <f aca="false">IFERROR('Start-Class Minutes'!C135/'Start-Class Minutes'!$K135,0)</f>
        <v>0.280533870561571</v>
      </c>
      <c r="D136" s="8" t="n">
        <f aca="false">IFERROR('Start-Class Minutes'!D135/'Start-Class Minutes'!$K135,0)</f>
        <v>0.278015613195669</v>
      </c>
      <c r="E136" s="8" t="n">
        <f aca="false">IFERROR('Start-Class Minutes'!E135/'Start-Class Minutes'!$K135,0)</f>
        <v>0.0120876353563334</v>
      </c>
      <c r="F136" s="8" t="n">
        <f aca="false">IFERROR('Start-Class Minutes'!F135/'Start-Class Minutes'!$K135,0)</f>
        <v>0.230924200453286</v>
      </c>
      <c r="G136" s="8" t="n">
        <f aca="false">IFERROR('Start-Class Minutes'!G135/'Start-Class Minutes'!$K135,0)</f>
        <v>0.0241752707126668</v>
      </c>
      <c r="H136" s="8" t="n">
        <f aca="false">IFERROR('Start-Class Minutes'!H135/'Start-Class Minutes'!$K135,0)</f>
        <v>0</v>
      </c>
      <c r="I136" s="8" t="n">
        <f aca="false">IFERROR('Start-Class Minutes'!I135/'Start-Class Minutes'!$K135,0)</f>
        <v>0</v>
      </c>
      <c r="J136" s="8" t="n">
        <f aca="false">IFERROR('Start-Class Minutes'!J135/'Start-Class Minutes'!$K135,0)</f>
        <v>0.174263409720473</v>
      </c>
    </row>
    <row r="137" customFormat="false" ht="15" hidden="false" customHeight="false" outlineLevel="0" collapsed="false">
      <c r="A137" s="7" t="s">
        <v>46</v>
      </c>
      <c r="B137" s="7" t="s">
        <v>74</v>
      </c>
      <c r="C137" s="8" t="n">
        <f aca="false">IFERROR('Start-Class Minutes'!C136/'Start-Class Minutes'!$K136,0)</f>
        <v>0.414019162884518</v>
      </c>
      <c r="D137" s="8" t="n">
        <f aca="false">IFERROR('Start-Class Minutes'!D136/'Start-Class Minutes'!$K136,0)</f>
        <v>0.1089258698941</v>
      </c>
      <c r="E137" s="8" t="n">
        <f aca="false">IFERROR('Start-Class Minutes'!E136/'Start-Class Minutes'!$K136,0)</f>
        <v>0.0242057488653555</v>
      </c>
      <c r="F137" s="8" t="n">
        <f aca="false">IFERROR('Start-Class Minutes'!F136/'Start-Class Minutes'!$K136,0)</f>
        <v>0.270045385779123</v>
      </c>
      <c r="G137" s="8" t="n">
        <f aca="false">IFERROR('Start-Class Minutes'!G136/'Start-Class Minutes'!$K136,0)</f>
        <v>0.0242057488653555</v>
      </c>
      <c r="H137" s="8" t="n">
        <f aca="false">IFERROR('Start-Class Minutes'!H136/'Start-Class Minutes'!$K136,0)</f>
        <v>0.0121028744326778</v>
      </c>
      <c r="I137" s="8" t="n">
        <f aca="false">IFERROR('Start-Class Minutes'!I136/'Start-Class Minutes'!$K136,0)</f>
        <v>0</v>
      </c>
      <c r="J137" s="8" t="n">
        <f aca="false">IFERROR('Start-Class Minutes'!J136/'Start-Class Minutes'!$K136,0)</f>
        <v>0.14649520927887</v>
      </c>
    </row>
    <row r="138" customFormat="false" ht="15" hidden="false" customHeight="false" outlineLevel="0" collapsed="false">
      <c r="A138" s="7" t="s">
        <v>47</v>
      </c>
      <c r="B138" s="7" t="s">
        <v>74</v>
      </c>
      <c r="C138" s="8" t="n">
        <f aca="false">IFERROR('Start-Class Minutes'!C137/'Start-Class Minutes'!$K137,0)</f>
        <v>0.194627470856564</v>
      </c>
      <c r="D138" s="8" t="n">
        <f aca="false">IFERROR('Start-Class Minutes'!D137/'Start-Class Minutes'!$K137,0)</f>
        <v>0.586416624429802</v>
      </c>
      <c r="E138" s="8" t="n">
        <f aca="false">IFERROR('Start-Class Minutes'!E137/'Start-Class Minutes'!$K137,0)</f>
        <v>0.0121642169285352</v>
      </c>
      <c r="F138" s="8" t="n">
        <f aca="false">IFERROR('Start-Class Minutes'!F137/'Start-Class Minutes'!$K137,0)</f>
        <v>0.158134820070958</v>
      </c>
      <c r="G138" s="8" t="n">
        <f aca="false">IFERROR('Start-Class Minutes'!G137/'Start-Class Minutes'!$K137,0)</f>
        <v>0.0486568677141409</v>
      </c>
      <c r="H138" s="8" t="n">
        <f aca="false">IFERROR('Start-Class Minutes'!H137/'Start-Class Minutes'!$K137,0)</f>
        <v>0</v>
      </c>
      <c r="I138" s="8" t="n">
        <f aca="false">IFERROR('Start-Class Minutes'!I137/'Start-Class Minutes'!$K137,0)</f>
        <v>0</v>
      </c>
      <c r="J138" s="8" t="n">
        <f aca="false">IFERROR('Start-Class Minutes'!J137/'Start-Class Minutes'!$K137,0)</f>
        <v>0</v>
      </c>
    </row>
    <row r="139" customFormat="false" ht="15" hidden="false" customHeight="false" outlineLevel="0" collapsed="false">
      <c r="A139" s="7" t="s">
        <v>48</v>
      </c>
      <c r="B139" s="7" t="s">
        <v>74</v>
      </c>
      <c r="C139" s="8" t="n">
        <f aca="false">IFERROR('Start-Class Minutes'!C138/'Start-Class Minutes'!$K138,0)</f>
        <v>0.635073492143943</v>
      </c>
      <c r="D139" s="8" t="n">
        <f aca="false">IFERROR('Start-Class Minutes'!D138/'Start-Class Minutes'!$K138,0)</f>
        <v>0.328433857070451</v>
      </c>
      <c r="E139" s="8" t="n">
        <f aca="false">IFERROR('Start-Class Minutes'!E138/'Start-Class Minutes'!$K138,0)</f>
        <v>0.0243284338570705</v>
      </c>
      <c r="F139" s="8" t="n">
        <f aca="false">IFERROR('Start-Class Minutes'!F138/'Start-Class Minutes'!$K138,0)</f>
        <v>0.0121642169285352</v>
      </c>
      <c r="G139" s="8" t="n">
        <f aca="false">IFERROR('Start-Class Minutes'!G138/'Start-Class Minutes'!$K138,0)</f>
        <v>0</v>
      </c>
      <c r="H139" s="8" t="n">
        <f aca="false">IFERROR('Start-Class Minutes'!H138/'Start-Class Minutes'!$K138,0)</f>
        <v>0</v>
      </c>
      <c r="I139" s="8" t="n">
        <f aca="false">IFERROR('Start-Class Minutes'!I138/'Start-Class Minutes'!$K138,0)</f>
        <v>0</v>
      </c>
      <c r="J139" s="8" t="n">
        <f aca="false">IFERROR('Start-Class Minutes'!J138/'Start-Class Minutes'!$K138,0)</f>
        <v>0</v>
      </c>
    </row>
    <row r="140" customFormat="false" ht="15" hidden="false" customHeight="false" outlineLevel="0" collapsed="false">
      <c r="A140" s="7" t="s">
        <v>43</v>
      </c>
      <c r="B140" s="7" t="s">
        <v>75</v>
      </c>
      <c r="C140" s="8" t="n">
        <f aca="false">IFERROR('Start-Class Minutes'!C139/'Start-Class Minutes'!$K139,0)</f>
        <v>0.260135985897759</v>
      </c>
      <c r="D140" s="8" t="n">
        <f aca="false">IFERROR('Start-Class Minutes'!D139/'Start-Class Minutes'!$K139,0)</f>
        <v>0.473936036262906</v>
      </c>
      <c r="E140" s="8" t="n">
        <f aca="false">IFERROR('Start-Class Minutes'!E139/'Start-Class Minutes'!$K139,0)</f>
        <v>0.0120876353563334</v>
      </c>
      <c r="F140" s="8" t="n">
        <f aca="false">IFERROR('Start-Class Minutes'!F139/'Start-Class Minutes'!$K139,0)</f>
        <v>0.0604381767816671</v>
      </c>
      <c r="G140" s="8" t="n">
        <f aca="false">IFERROR('Start-Class Minutes'!G139/'Start-Class Minutes'!$K139,0)</f>
        <v>0.157139259632334</v>
      </c>
      <c r="H140" s="8" t="n">
        <f aca="false">IFERROR('Start-Class Minutes'!H139/'Start-Class Minutes'!$K139,0)</f>
        <v>0</v>
      </c>
      <c r="I140" s="8" t="n">
        <f aca="false">IFERROR('Start-Class Minutes'!I139/'Start-Class Minutes'!$K139,0)</f>
        <v>0.0120876353563334</v>
      </c>
      <c r="J140" s="8" t="n">
        <f aca="false">IFERROR('Start-Class Minutes'!J139/'Start-Class Minutes'!$K139,0)</f>
        <v>0.0241752707126668</v>
      </c>
    </row>
    <row r="141" customFormat="false" ht="15" hidden="false" customHeight="false" outlineLevel="0" collapsed="false">
      <c r="A141" s="7" t="s">
        <v>45</v>
      </c>
      <c r="B141" s="7" t="s">
        <v>75</v>
      </c>
      <c r="C141" s="8" t="n">
        <f aca="false">IFERROR('Start-Class Minutes'!C140/'Start-Class Minutes'!$K140,0)</f>
        <v>0.452158545821762</v>
      </c>
      <c r="D141" s="8" t="n">
        <f aca="false">IFERROR('Start-Class Minutes'!D140/'Start-Class Minutes'!$K140,0)</f>
        <v>0.157535975763696</v>
      </c>
      <c r="E141" s="8" t="n">
        <f aca="false">IFERROR('Start-Class Minutes'!E140/'Start-Class Minutes'!$K140,0)</f>
        <v>0.255743499116385</v>
      </c>
      <c r="F141" s="8" t="n">
        <f aca="false">IFERROR('Start-Class Minutes'!F140/'Start-Class Minutes'!$K140,0)</f>
        <v>0</v>
      </c>
      <c r="G141" s="8" t="n">
        <f aca="false">IFERROR('Start-Class Minutes'!G140/'Start-Class Minutes'!$K140,0)</f>
        <v>0.0242363039636455</v>
      </c>
      <c r="H141" s="8" t="n">
        <f aca="false">IFERROR('Start-Class Minutes'!H140/'Start-Class Minutes'!$K140,0)</f>
        <v>0.086089371370866</v>
      </c>
      <c r="I141" s="8" t="n">
        <f aca="false">IFERROR('Start-Class Minutes'!I140/'Start-Class Minutes'!$K140,0)</f>
        <v>0</v>
      </c>
      <c r="J141" s="8" t="n">
        <f aca="false">IFERROR('Start-Class Minutes'!J140/'Start-Class Minutes'!$K140,0)</f>
        <v>0.0242363039636455</v>
      </c>
    </row>
    <row r="142" customFormat="false" ht="15" hidden="false" customHeight="false" outlineLevel="0" collapsed="false">
      <c r="A142" s="7" t="s">
        <v>46</v>
      </c>
      <c r="B142" s="7" t="s">
        <v>75</v>
      </c>
      <c r="C142" s="8" t="n">
        <f aca="false">IFERROR('Start-Class Minutes'!C141/'Start-Class Minutes'!$K141,0)</f>
        <v>0.353951022469073</v>
      </c>
      <c r="D142" s="8" t="n">
        <f aca="false">IFERROR('Start-Class Minutes'!D141/'Start-Class Minutes'!$K141,0)</f>
        <v>0.244887654632669</v>
      </c>
      <c r="E142" s="8" t="n">
        <f aca="false">IFERROR('Start-Class Minutes'!E141/'Start-Class Minutes'!$K141,0)</f>
        <v>0.0727089118909366</v>
      </c>
      <c r="F142" s="8" t="n">
        <f aca="false">IFERROR('Start-Class Minutes'!F141/'Start-Class Minutes'!$K141,0)</f>
        <v>0</v>
      </c>
      <c r="G142" s="8" t="n">
        <f aca="false">IFERROR('Start-Class Minutes'!G141/'Start-Class Minutes'!$K141,0)</f>
        <v>0.134561979298157</v>
      </c>
      <c r="H142" s="8" t="n">
        <f aca="false">IFERROR('Start-Class Minutes'!H141/'Start-Class Minutes'!$K141,0)</f>
        <v>0.0363544559454683</v>
      </c>
      <c r="I142" s="8" t="n">
        <f aca="false">IFERROR('Start-Class Minutes'!I141/'Start-Class Minutes'!$K141,0)</f>
        <v>0.0121181519818228</v>
      </c>
      <c r="J142" s="8" t="n">
        <f aca="false">IFERROR('Start-Class Minutes'!J141/'Start-Class Minutes'!$K141,0)</f>
        <v>0.145417823781873</v>
      </c>
    </row>
    <row r="143" customFormat="false" ht="15" hidden="false" customHeight="false" outlineLevel="0" collapsed="false">
      <c r="A143" s="7" t="s">
        <v>47</v>
      </c>
      <c r="B143" s="7" t="s">
        <v>75</v>
      </c>
      <c r="C143" s="8" t="n">
        <f aca="false">IFERROR('Start-Class Minutes'!C142/'Start-Class Minutes'!$K142,0)</f>
        <v>0.231507195152739</v>
      </c>
      <c r="D143" s="8" t="n">
        <f aca="false">IFERROR('Start-Class Minutes'!D142/'Start-Class Minutes'!$K142,0)</f>
        <v>0.368593789447109</v>
      </c>
      <c r="E143" s="8" t="n">
        <f aca="false">IFERROR('Start-Class Minutes'!E142/'Start-Class Minutes'!$K142,0)</f>
        <v>0.109063367836405</v>
      </c>
      <c r="F143" s="8" t="n">
        <f aca="false">IFERROR('Start-Class Minutes'!F142/'Start-Class Minutes'!$K142,0)</f>
        <v>0.0484726079272911</v>
      </c>
      <c r="G143" s="8" t="n">
        <f aca="false">IFERROR('Start-Class Minutes'!G142/'Start-Class Minutes'!$K142,0)</f>
        <v>0.0848270638727594</v>
      </c>
      <c r="H143" s="8" t="n">
        <f aca="false">IFERROR('Start-Class Minutes'!H142/'Start-Class Minutes'!$K142,0)</f>
        <v>0.0121181519818228</v>
      </c>
      <c r="I143" s="8" t="n">
        <f aca="false">IFERROR('Start-Class Minutes'!I142/'Start-Class Minutes'!$K142,0)</f>
        <v>0.0121181519818228</v>
      </c>
      <c r="J143" s="8" t="n">
        <f aca="false">IFERROR('Start-Class Minutes'!J142/'Start-Class Minutes'!$K142,0)</f>
        <v>0.13329967180005</v>
      </c>
    </row>
    <row r="144" customFormat="false" ht="15" hidden="false" customHeight="false" outlineLevel="0" collapsed="false">
      <c r="A144" s="7" t="s">
        <v>48</v>
      </c>
      <c r="B144" s="7" t="s">
        <v>75</v>
      </c>
      <c r="C144" s="8" t="n">
        <f aca="false">IFERROR('Start-Class Minutes'!C143/'Start-Class Minutes'!$K143,0)</f>
        <v>0.315470171890799</v>
      </c>
      <c r="D144" s="8" t="n">
        <f aca="false">IFERROR('Start-Class Minutes'!D143/'Start-Class Minutes'!$K143,0)</f>
        <v>0.427199191102123</v>
      </c>
      <c r="E144" s="8" t="n">
        <f aca="false">IFERROR('Start-Class Minutes'!E143/'Start-Class Minutes'!$K143,0)</f>
        <v>0</v>
      </c>
      <c r="F144" s="8" t="n">
        <f aca="false">IFERROR('Start-Class Minutes'!F143/'Start-Class Minutes'!$K143,0)</f>
        <v>0.182002022244692</v>
      </c>
      <c r="G144" s="8" t="n">
        <f aca="false">IFERROR('Start-Class Minutes'!G143/'Start-Class Minutes'!$K143,0)</f>
        <v>0.0121334681496461</v>
      </c>
      <c r="H144" s="8" t="n">
        <f aca="false">IFERROR('Start-Class Minutes'!H143/'Start-Class Minutes'!$K143,0)</f>
        <v>0</v>
      </c>
      <c r="I144" s="8" t="n">
        <f aca="false">IFERROR('Start-Class Minutes'!I143/'Start-Class Minutes'!$K143,0)</f>
        <v>0</v>
      </c>
      <c r="J144" s="8" t="n">
        <f aca="false">IFERROR('Start-Class Minutes'!J143/'Start-Class Minutes'!$K143,0)</f>
        <v>0.0631951466127401</v>
      </c>
    </row>
    <row r="145" customFormat="false" ht="15" hidden="false" customHeight="false" outlineLevel="0" collapsed="false">
      <c r="A145" s="7" t="s">
        <v>43</v>
      </c>
      <c r="B145" s="7" t="s">
        <v>76</v>
      </c>
      <c r="C145" s="8" t="n">
        <f aca="false">IFERROR('Start-Class Minutes'!C144/'Start-Class Minutes'!$K144,0)</f>
        <v>0.513431322858591</v>
      </c>
      <c r="D145" s="8" t="n">
        <f aca="false">IFERROR('Start-Class Minutes'!D144/'Start-Class Minutes'!$K144,0)</f>
        <v>0.194627470856564</v>
      </c>
      <c r="E145" s="8" t="n">
        <f aca="false">IFERROR('Start-Class Minutes'!E144/'Start-Class Minutes'!$K144,0)</f>
        <v>0.145970603142423</v>
      </c>
      <c r="F145" s="8" t="n">
        <f aca="false">IFERROR('Start-Class Minutes'!F144/'Start-Class Minutes'!$K144,0)</f>
        <v>0.0364926507856057</v>
      </c>
      <c r="G145" s="8" t="n">
        <f aca="false">IFERROR('Start-Class Minutes'!G144/'Start-Class Minutes'!$K144,0)</f>
        <v>0.0121642169285352</v>
      </c>
      <c r="H145" s="8" t="n">
        <f aca="false">IFERROR('Start-Class Minutes'!H144/'Start-Class Minutes'!$K144,0)</f>
        <v>0.0486568677141409</v>
      </c>
      <c r="I145" s="8" t="n">
        <f aca="false">IFERROR('Start-Class Minutes'!I144/'Start-Class Minutes'!$K144,0)</f>
        <v>0.0121642169285352</v>
      </c>
      <c r="J145" s="8" t="n">
        <f aca="false">IFERROR('Start-Class Minutes'!J144/'Start-Class Minutes'!$K144,0)</f>
        <v>0.0364926507856057</v>
      </c>
    </row>
    <row r="146" customFormat="false" ht="15" hidden="false" customHeight="false" outlineLevel="0" collapsed="false">
      <c r="A146" s="7" t="s">
        <v>45</v>
      </c>
      <c r="B146" s="7" t="s">
        <v>76</v>
      </c>
      <c r="C146" s="8" t="n">
        <f aca="false">IFERROR('Start-Class Minutes'!C145/'Start-Class Minutes'!$K145,0)</f>
        <v>0.306740722039889</v>
      </c>
      <c r="D146" s="8" t="n">
        <f aca="false">IFERROR('Start-Class Minutes'!D145/'Start-Class Minutes'!$K145,0)</f>
        <v>0.230244887654633</v>
      </c>
      <c r="E146" s="8" t="n">
        <f aca="false">IFERROR('Start-Class Minutes'!E145/'Start-Class Minutes'!$K145,0)</f>
        <v>0</v>
      </c>
      <c r="F146" s="8" t="n">
        <f aca="false">IFERROR('Start-Class Minutes'!F145/'Start-Class Minutes'!$K145,0)</f>
        <v>0.121181519818228</v>
      </c>
      <c r="G146" s="8" t="n">
        <f aca="false">IFERROR('Start-Class Minutes'!G145/'Start-Class Minutes'!$K145,0)</f>
        <v>0.0254986114617521</v>
      </c>
      <c r="H146" s="8" t="n">
        <f aca="false">IFERROR('Start-Class Minutes'!H145/'Start-Class Minutes'!$K145,0)</f>
        <v>0</v>
      </c>
      <c r="I146" s="8" t="n">
        <f aca="false">IFERROR('Start-Class Minutes'!I145/'Start-Class Minutes'!$K145,0)</f>
        <v>0</v>
      </c>
      <c r="J146" s="8" t="n">
        <f aca="false">IFERROR('Start-Class Minutes'!J145/'Start-Class Minutes'!$K145,0)</f>
        <v>0.316334259025499</v>
      </c>
    </row>
    <row r="147" customFormat="false" ht="15" hidden="false" customHeight="false" outlineLevel="0" collapsed="false">
      <c r="A147" s="7" t="s">
        <v>46</v>
      </c>
      <c r="B147" s="7" t="s">
        <v>76</v>
      </c>
      <c r="C147" s="8" t="n">
        <f aca="false">IFERROR('Start-Class Minutes'!C146/'Start-Class Minutes'!$K146,0)</f>
        <v>0</v>
      </c>
      <c r="D147" s="8" t="n">
        <f aca="false">IFERROR('Start-Class Minutes'!D146/'Start-Class Minutes'!$K146,0)</f>
        <v>0.29336026255996</v>
      </c>
      <c r="E147" s="8" t="n">
        <f aca="false">IFERROR('Start-Class Minutes'!E146/'Start-Class Minutes'!$K146,0)</f>
        <v>0.0848270638727594</v>
      </c>
      <c r="F147" s="8" t="n">
        <f aca="false">IFERROR('Start-Class Minutes'!F146/'Start-Class Minutes'!$K146,0)</f>
        <v>0.172178742741732</v>
      </c>
      <c r="G147" s="8" t="n">
        <f aca="false">IFERROR('Start-Class Minutes'!G146/'Start-Class Minutes'!$K146,0)</f>
        <v>0.122443827316334</v>
      </c>
      <c r="H147" s="8" t="n">
        <f aca="false">IFERROR('Start-Class Minutes'!H146/'Start-Class Minutes'!$K146,0)</f>
        <v>0.0605907599091139</v>
      </c>
      <c r="I147" s="8" t="n">
        <f aca="false">IFERROR('Start-Class Minutes'!I146/'Start-Class Minutes'!$K146,0)</f>
        <v>0</v>
      </c>
      <c r="J147" s="8" t="n">
        <f aca="false">IFERROR('Start-Class Minutes'!J146/'Start-Class Minutes'!$K146,0)</f>
        <v>0.266599343600101</v>
      </c>
    </row>
    <row r="148" customFormat="false" ht="15" hidden="false" customHeight="false" outlineLevel="0" collapsed="false">
      <c r="A148" s="7" t="s">
        <v>47</v>
      </c>
      <c r="B148" s="7" t="s">
        <v>76</v>
      </c>
      <c r="C148" s="8" t="n">
        <f aca="false">IFERROR('Start-Class Minutes'!C147/'Start-Class Minutes'!$K147,0)</f>
        <v>0.0484726079272911</v>
      </c>
      <c r="D148" s="8" t="n">
        <f aca="false">IFERROR('Start-Class Minutes'!D147/'Start-Class Minutes'!$K147,0)</f>
        <v>0.254481191618278</v>
      </c>
      <c r="E148" s="8" t="n">
        <f aca="false">IFERROR('Start-Class Minutes'!E147/'Start-Class Minutes'!$K147,0)</f>
        <v>0.086089371370866</v>
      </c>
      <c r="F148" s="8" t="n">
        <f aca="false">IFERROR('Start-Class Minutes'!F147/'Start-Class Minutes'!$K147,0)</f>
        <v>0.0969452158545822</v>
      </c>
      <c r="G148" s="8" t="n">
        <f aca="false">IFERROR('Start-Class Minutes'!G147/'Start-Class Minutes'!$K147,0)</f>
        <v>0.183034587225448</v>
      </c>
      <c r="H148" s="8" t="n">
        <f aca="false">IFERROR('Start-Class Minutes'!H147/'Start-Class Minutes'!$K147,0)</f>
        <v>0.0484726079272911</v>
      </c>
      <c r="I148" s="8" t="n">
        <f aca="false">IFERROR('Start-Class Minutes'!I147/'Start-Class Minutes'!$K147,0)</f>
        <v>0</v>
      </c>
      <c r="J148" s="8" t="n">
        <f aca="false">IFERROR('Start-Class Minutes'!J147/'Start-Class Minutes'!$K147,0)</f>
        <v>0.282504418076243</v>
      </c>
    </row>
    <row r="149" customFormat="false" ht="15" hidden="false" customHeight="false" outlineLevel="0" collapsed="false">
      <c r="A149" s="7" t="s">
        <v>48</v>
      </c>
      <c r="B149" s="7" t="s">
        <v>76</v>
      </c>
      <c r="C149" s="8" t="n">
        <f aca="false">IFERROR('Start-Class Minutes'!C148/'Start-Class Minutes'!$K148,0)</f>
        <v>0</v>
      </c>
      <c r="D149" s="8" t="n">
        <f aca="false">IFERROR('Start-Class Minutes'!D148/'Start-Class Minutes'!$K148,0)</f>
        <v>0</v>
      </c>
      <c r="E149" s="8" t="n">
        <f aca="false">IFERROR('Start-Class Minutes'!E148/'Start-Class Minutes'!$K148,0)</f>
        <v>0</v>
      </c>
      <c r="F149" s="8" t="n">
        <f aca="false">IFERROR('Start-Class Minutes'!F148/'Start-Class Minutes'!$K148,0)</f>
        <v>0.013363590519415</v>
      </c>
      <c r="G149" s="8" t="n">
        <f aca="false">IFERROR('Start-Class Minutes'!G148/'Start-Class Minutes'!$K148,0)</f>
        <v>0.0121028744326778</v>
      </c>
      <c r="H149" s="8" t="n">
        <f aca="false">IFERROR('Start-Class Minutes'!H148/'Start-Class Minutes'!$K148,0)</f>
        <v>0.208270297528996</v>
      </c>
      <c r="I149" s="8" t="n">
        <f aca="false">IFERROR('Start-Class Minutes'!I148/'Start-Class Minutes'!$K148,0)</f>
        <v>0</v>
      </c>
      <c r="J149" s="8" t="n">
        <f aca="false">IFERROR('Start-Class Minutes'!J148/'Start-Class Minutes'!$K148,0)</f>
        <v>0.766263237518911</v>
      </c>
    </row>
    <row r="150" customFormat="false" ht="15" hidden="false" customHeight="false" outlineLevel="0" collapsed="false">
      <c r="A150" s="7" t="s">
        <v>43</v>
      </c>
      <c r="B150" s="7" t="s">
        <v>77</v>
      </c>
      <c r="C150" s="8" t="n">
        <f aca="false">IFERROR('Start-Class Minutes'!C149/'Start-Class Minutes'!$K149,0)</f>
        <v>0.315935451336359</v>
      </c>
      <c r="D150" s="8" t="n">
        <f aca="false">IFERROR('Start-Class Minutes'!D149/'Start-Class Minutes'!$K149,0)</f>
        <v>0.209531013615734</v>
      </c>
      <c r="E150" s="8" t="n">
        <f aca="false">IFERROR('Start-Class Minutes'!E149/'Start-Class Minutes'!$K149,0)</f>
        <v>0.0242057488653555</v>
      </c>
      <c r="F150" s="8" t="n">
        <f aca="false">IFERROR('Start-Class Minutes'!F149/'Start-Class Minutes'!$K149,0)</f>
        <v>0.196167423096319</v>
      </c>
      <c r="G150" s="8" t="n">
        <f aca="false">IFERROR('Start-Class Minutes'!G149/'Start-Class Minutes'!$K149,0)</f>
        <v>0.0363086232980333</v>
      </c>
      <c r="H150" s="8" t="n">
        <f aca="false">IFERROR('Start-Class Minutes'!H149/'Start-Class Minutes'!$K149,0)</f>
        <v>0</v>
      </c>
      <c r="I150" s="8" t="n">
        <f aca="false">IFERROR('Start-Class Minutes'!I149/'Start-Class Minutes'!$K149,0)</f>
        <v>0</v>
      </c>
      <c r="J150" s="8" t="n">
        <f aca="false">IFERROR('Start-Class Minutes'!J149/'Start-Class Minutes'!$K149,0)</f>
        <v>0.2178517397882</v>
      </c>
    </row>
    <row r="151" customFormat="false" ht="15" hidden="false" customHeight="false" outlineLevel="0" collapsed="false">
      <c r="A151" s="7" t="s">
        <v>45</v>
      </c>
      <c r="B151" s="7" t="s">
        <v>77</v>
      </c>
      <c r="C151" s="8" t="n">
        <f aca="false">IFERROR('Start-Class Minutes'!C150/'Start-Class Minutes'!$K150,0)</f>
        <v>0.340167046317388</v>
      </c>
      <c r="D151" s="8" t="n">
        <f aca="false">IFERROR('Start-Class Minutes'!D150/'Start-Class Minutes'!$K150,0)</f>
        <v>0.392558845861807</v>
      </c>
      <c r="E151" s="8" t="n">
        <f aca="false">IFERROR('Start-Class Minutes'!E150/'Start-Class Minutes'!$K150,0)</f>
        <v>0.0485952923310554</v>
      </c>
      <c r="F151" s="8" t="n">
        <f aca="false">IFERROR('Start-Class Minutes'!F150/'Start-Class Minutes'!$K150,0)</f>
        <v>0.0728929384965831</v>
      </c>
      <c r="G151" s="8" t="n">
        <f aca="false">IFERROR('Start-Class Minutes'!G150/'Start-Class Minutes'!$K150,0)</f>
        <v>0.085041761579347</v>
      </c>
      <c r="H151" s="8" t="n">
        <f aca="false">IFERROR('Start-Class Minutes'!H150/'Start-Class Minutes'!$K150,0)</f>
        <v>0</v>
      </c>
      <c r="I151" s="8" t="n">
        <f aca="false">IFERROR('Start-Class Minutes'!I150/'Start-Class Minutes'!$K150,0)</f>
        <v>0</v>
      </c>
      <c r="J151" s="8" t="n">
        <f aca="false">IFERROR('Start-Class Minutes'!J150/'Start-Class Minutes'!$K150,0)</f>
        <v>0.0607441154138193</v>
      </c>
    </row>
    <row r="152" customFormat="false" ht="15" hidden="false" customHeight="false" outlineLevel="0" collapsed="false">
      <c r="A152" s="7" t="s">
        <v>46</v>
      </c>
      <c r="B152" s="7" t="s">
        <v>77</v>
      </c>
      <c r="C152" s="8" t="n">
        <f aca="false">IFERROR('Start-Class Minutes'!C151/'Start-Class Minutes'!$K151,0)</f>
        <v>0.55955397871262</v>
      </c>
      <c r="D152" s="8" t="n">
        <f aca="false">IFERROR('Start-Class Minutes'!D151/'Start-Class Minutes'!$K151,0)</f>
        <v>0.135073492143943</v>
      </c>
      <c r="E152" s="8" t="n">
        <f aca="false">IFERROR('Start-Class Minutes'!E151/'Start-Class Minutes'!$K151,0)</f>
        <v>0.0243284338570705</v>
      </c>
      <c r="F152" s="8" t="n">
        <f aca="false">IFERROR('Start-Class Minutes'!F151/'Start-Class Minutes'!$K151,0)</f>
        <v>0.135073492143943</v>
      </c>
      <c r="G152" s="8" t="n">
        <f aca="false">IFERROR('Start-Class Minutes'!G151/'Start-Class Minutes'!$K151,0)</f>
        <v>0.0364926507856057</v>
      </c>
      <c r="H152" s="8" t="n">
        <f aca="false">IFERROR('Start-Class Minutes'!H151/'Start-Class Minutes'!$K151,0)</f>
        <v>0</v>
      </c>
      <c r="I152" s="8" t="n">
        <f aca="false">IFERROR('Start-Class Minutes'!I151/'Start-Class Minutes'!$K151,0)</f>
        <v>0</v>
      </c>
      <c r="J152" s="8" t="n">
        <f aca="false">IFERROR('Start-Class Minutes'!J151/'Start-Class Minutes'!$K151,0)</f>
        <v>0.109477952356817</v>
      </c>
    </row>
    <row r="153" customFormat="false" ht="15" hidden="false" customHeight="false" outlineLevel="0" collapsed="false">
      <c r="A153" s="7" t="s">
        <v>47</v>
      </c>
      <c r="B153" s="7" t="s">
        <v>77</v>
      </c>
      <c r="C153" s="8" t="n">
        <f aca="false">IFERROR('Start-Class Minutes'!C152/'Start-Class Minutes'!$K152,0)</f>
        <v>0.170299036999493</v>
      </c>
      <c r="D153" s="8" t="n">
        <f aca="false">IFERROR('Start-Class Minutes'!D152/'Start-Class Minutes'!$K152,0)</f>
        <v>0.24455144450076</v>
      </c>
      <c r="E153" s="8" t="n">
        <f aca="false">IFERROR('Start-Class Minutes'!E152/'Start-Class Minutes'!$K152,0)</f>
        <v>0.0851495184997466</v>
      </c>
      <c r="F153" s="8" t="n">
        <f aca="false">IFERROR('Start-Class Minutes'!F152/'Start-Class Minutes'!$K152,0)</f>
        <v>0.109477952356817</v>
      </c>
      <c r="G153" s="8" t="n">
        <f aca="false">IFERROR('Start-Class Minutes'!G152/'Start-Class Minutes'!$K152,0)</f>
        <v>0.232387227572225</v>
      </c>
      <c r="H153" s="8" t="n">
        <f aca="false">IFERROR('Start-Class Minutes'!H152/'Start-Class Minutes'!$K152,0)</f>
        <v>0.0851495184997466</v>
      </c>
      <c r="I153" s="8" t="n">
        <f aca="false">IFERROR('Start-Class Minutes'!I152/'Start-Class Minutes'!$K152,0)</f>
        <v>0</v>
      </c>
      <c r="J153" s="8" t="n">
        <f aca="false">IFERROR('Start-Class Minutes'!J152/'Start-Class Minutes'!$K152,0)</f>
        <v>0.0729853015712114</v>
      </c>
    </row>
    <row r="154" customFormat="false" ht="15" hidden="false" customHeight="false" outlineLevel="0" collapsed="false">
      <c r="A154" s="7" t="s">
        <v>48</v>
      </c>
      <c r="B154" s="7" t="s">
        <v>77</v>
      </c>
      <c r="C154" s="8" t="n">
        <f aca="false">IFERROR('Start-Class Minutes'!C153/'Start-Class Minutes'!$K153,0)</f>
        <v>0.354846874209061</v>
      </c>
      <c r="D154" s="8" t="n">
        <f aca="false">IFERROR('Start-Class Minutes'!D153/'Start-Class Minutes'!$K153,0)</f>
        <v>0.256390787142496</v>
      </c>
      <c r="E154" s="8" t="n">
        <f aca="false">IFERROR('Start-Class Minutes'!E153/'Start-Class Minutes'!$K153,0)</f>
        <v>0.0728929384965831</v>
      </c>
      <c r="F154" s="8" t="n">
        <f aca="false">IFERROR('Start-Class Minutes'!F153/'Start-Class Minutes'!$K153,0)</f>
        <v>0.109339407744875</v>
      </c>
      <c r="G154" s="8" t="n">
        <f aca="false">IFERROR('Start-Class Minutes'!G153/'Start-Class Minutes'!$K153,0)</f>
        <v>0.0607441154138193</v>
      </c>
      <c r="H154" s="8" t="n">
        <f aca="false">IFERROR('Start-Class Minutes'!H153/'Start-Class Minutes'!$K153,0)</f>
        <v>0.0121488230827639</v>
      </c>
      <c r="I154" s="8" t="n">
        <f aca="false">IFERROR('Start-Class Minutes'!I153/'Start-Class Minutes'!$K153,0)</f>
        <v>0</v>
      </c>
      <c r="J154" s="8" t="n">
        <f aca="false">IFERROR('Start-Class Minutes'!J153/'Start-Class Minutes'!$K153,0)</f>
        <v>0.133637053910402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9" min="2" style="0" width="12"/>
  </cols>
  <sheetData>
    <row r="1" customFormat="false" ht="17.35" hidden="false" customHeight="false" outlineLevel="0" collapsed="false">
      <c r="A1" s="1" t="s">
        <v>89</v>
      </c>
    </row>
    <row r="3" customFormat="false" ht="15" hidden="false" customHeight="false" outlineLevel="0" collapsed="false">
      <c r="A3" s="6" t="s">
        <v>37</v>
      </c>
      <c r="B3" s="6" t="s">
        <v>81</v>
      </c>
      <c r="C3" s="6" t="s">
        <v>82</v>
      </c>
      <c r="D3" s="6" t="s">
        <v>83</v>
      </c>
      <c r="E3" s="6" t="s">
        <v>84</v>
      </c>
      <c r="F3" s="6" t="s">
        <v>85</v>
      </c>
      <c r="G3" s="6" t="s">
        <v>86</v>
      </c>
      <c r="H3" s="6" t="s">
        <v>87</v>
      </c>
      <c r="I3" s="6" t="s">
        <v>88</v>
      </c>
    </row>
    <row r="4" customFormat="false" ht="15" hidden="false" customHeight="false" outlineLevel="0" collapsed="false">
      <c r="A4" s="7" t="s">
        <v>44</v>
      </c>
      <c r="B4" s="8" t="n">
        <f aca="false">IFERROR(SUMIF('Start-Class Minutes'!$B$4:$B$153,$A4,'Start-Class Minutes'!$C$4:$C$153)/SUMIF('Start-Class Minutes'!$B$4:$B$153,$A4,'Start-Class Minutes'!$K$4:$K$153),0)</f>
        <v>0.380899444163719</v>
      </c>
      <c r="C4" s="8" t="n">
        <f aca="false">IFERROR(SUMIF('Start-Class Minutes'!$B$4:$B$153,$A4,'Start-Class Minutes'!$D$4:$D$153)/SUMIF('Start-Class Minutes'!$B$4:$B$153,$A4,'Start-Class Minutes'!$K$4:$K$153),0)</f>
        <v>0.319757453259222</v>
      </c>
      <c r="D4" s="8" t="n">
        <f aca="false">IFERROR(SUMIF('Start-Class Minutes'!$B$4:$B$153,$A4,'Start-Class Minutes'!$E$4:$E$153)/SUMIF('Start-Class Minutes'!$B$4:$B$153,$A4,'Start-Class Minutes'!$K$4:$K$153),0)</f>
        <v>0.0754421424962102</v>
      </c>
      <c r="E4" s="8" t="n">
        <f aca="false">IFERROR(SUMIF('Start-Class Minutes'!$B$4:$B$153,$A4,'Start-Class Minutes'!$F$4:$F$153)/SUMIF('Start-Class Minutes'!$B$4:$B$153,$A4,'Start-Class Minutes'!$K$4:$K$153),0)</f>
        <v>0.0460838807478525</v>
      </c>
      <c r="F4" s="8" t="n">
        <f aca="false">IFERROR(SUMIF('Start-Class Minutes'!$B$4:$B$153,$A4,'Start-Class Minutes'!$G$4:$G$153)/SUMIF('Start-Class Minutes'!$B$4:$B$153,$A4,'Start-Class Minutes'!$K$4:$K$153),0)</f>
        <v>0.112076806467913</v>
      </c>
      <c r="G4" s="8" t="n">
        <f aca="false">IFERROR(SUMIF('Start-Class Minutes'!$B$4:$B$153,$A4,'Start-Class Minutes'!$H$4:$H$153)/SUMIF('Start-Class Minutes'!$B$4:$B$153,$A4,'Start-Class Minutes'!$K$4:$K$153),0)</f>
        <v>0.00485093481556342</v>
      </c>
      <c r="H4" s="8" t="n">
        <f aca="false">IFERROR(SUMIF('Start-Class Minutes'!$B$4:$B$153,$A4,'Start-Class Minutes'!$I$4:$I$153)/SUMIF('Start-Class Minutes'!$B$4:$B$153,$A4,'Start-Class Minutes'!$K$4:$K$153),0)</f>
        <v>0.00267812026275897</v>
      </c>
      <c r="I4" s="8" t="n">
        <f aca="false">IFERROR(SUMIF('Start-Class Minutes'!$B$4:$B$153,$A4,'Start-Class Minutes'!$J$4:$J$153)/SUMIF('Start-Class Minutes'!$B$4:$B$153,$A4,'Start-Class Minutes'!$K$4:$K$153),0)</f>
        <v>0.058211217786761</v>
      </c>
    </row>
    <row r="5" customFormat="false" ht="15" hidden="false" customHeight="false" outlineLevel="0" collapsed="false">
      <c r="A5" s="7" t="s">
        <v>49</v>
      </c>
      <c r="B5" s="8" t="n">
        <f aca="false">IFERROR(SUMIF('Start-Class Minutes'!$B$4:$B$153,$A5,'Start-Class Minutes'!$C$4:$C$153)/SUMIF('Start-Class Minutes'!$B$4:$B$153,$A5,'Start-Class Minutes'!$K$4:$K$153),0)</f>
        <v>0.312623324057678</v>
      </c>
      <c r="C5" s="8" t="n">
        <f aca="false">IFERROR(SUMIF('Start-Class Minutes'!$B$4:$B$153,$A5,'Start-Class Minutes'!$D$4:$D$153)/SUMIF('Start-Class Minutes'!$B$4:$B$153,$A5,'Start-Class Minutes'!$K$4:$K$153),0)</f>
        <v>0.0954717935745004</v>
      </c>
      <c r="D5" s="8" t="n">
        <f aca="false">IFERROR(SUMIF('Start-Class Minutes'!$B$4:$B$153,$A5,'Start-Class Minutes'!$E$4:$E$153)/SUMIF('Start-Class Minutes'!$B$4:$B$153,$A5,'Start-Class Minutes'!$K$4:$K$153),0)</f>
        <v>0.136503921072603</v>
      </c>
      <c r="E5" s="8" t="n">
        <f aca="false">IFERROR(SUMIF('Start-Class Minutes'!$B$4:$B$153,$A5,'Start-Class Minutes'!$F$4:$F$153)/SUMIF('Start-Class Minutes'!$B$4:$B$153,$A5,'Start-Class Minutes'!$K$4:$K$153),0)</f>
        <v>0.0364280293448014</v>
      </c>
      <c r="F5" s="8" t="n">
        <f aca="false">IFERROR(SUMIF('Start-Class Minutes'!$B$4:$B$153,$A5,'Start-Class Minutes'!$G$4:$G$153)/SUMIF('Start-Class Minutes'!$B$4:$B$153,$A5,'Start-Class Minutes'!$K$4:$K$153),0)</f>
        <v>0.150569187958513</v>
      </c>
      <c r="G5" s="8" t="n">
        <f aca="false">IFERROR(SUMIF('Start-Class Minutes'!$B$4:$B$153,$A5,'Start-Class Minutes'!$H$4:$H$153)/SUMIF('Start-Class Minutes'!$B$4:$B$153,$A5,'Start-Class Minutes'!$K$4:$K$153),0)</f>
        <v>0.0315709587654946</v>
      </c>
      <c r="H5" s="8" t="n">
        <f aca="false">IFERROR(SUMIF('Start-Class Minutes'!$B$4:$B$153,$A5,'Start-Class Minutes'!$I$4:$I$153)/SUMIF('Start-Class Minutes'!$B$4:$B$153,$A5,'Start-Class Minutes'!$K$4:$K$153),0)</f>
        <v>0.00996711358461928</v>
      </c>
      <c r="I5" s="8" t="n">
        <f aca="false">IFERROR(SUMIF('Start-Class Minutes'!$B$4:$B$153,$A5,'Start-Class Minutes'!$J$4:$J$153)/SUMIF('Start-Class Minutes'!$B$4:$B$153,$A5,'Start-Class Minutes'!$K$4:$K$153),0)</f>
        <v>0.226865671641791</v>
      </c>
    </row>
    <row r="6" customFormat="false" ht="15" hidden="false" customHeight="false" outlineLevel="0" collapsed="false">
      <c r="A6" s="7" t="s">
        <v>50</v>
      </c>
      <c r="B6" s="8" t="n">
        <f aca="false">IFERROR(SUMIF('Start-Class Minutes'!$B$4:$B$153,$A6,'Start-Class Minutes'!$C$4:$C$153)/SUMIF('Start-Class Minutes'!$B$4:$B$153,$A6,'Start-Class Minutes'!$K$4:$K$153),0)</f>
        <v>0.384235708889449</v>
      </c>
      <c r="C6" s="8" t="n">
        <f aca="false">IFERROR(SUMIF('Start-Class Minutes'!$B$4:$B$153,$A6,'Start-Class Minutes'!$D$4:$D$153)/SUMIF('Start-Class Minutes'!$B$4:$B$153,$A6,'Start-Class Minutes'!$K$4:$K$153),0)</f>
        <v>0.36424074540418</v>
      </c>
      <c r="D6" s="8" t="n">
        <f aca="false">IFERROR(SUMIF('Start-Class Minutes'!$B$4:$B$153,$A6,'Start-Class Minutes'!$E$4:$E$153)/SUMIF('Start-Class Minutes'!$B$4:$B$153,$A6,'Start-Class Minutes'!$K$4:$K$153),0)</f>
        <v>0.0877864517753715</v>
      </c>
      <c r="E6" s="8" t="n">
        <f aca="false">IFERROR(SUMIF('Start-Class Minutes'!$B$4:$B$153,$A6,'Start-Class Minutes'!$F$4:$F$153)/SUMIF('Start-Class Minutes'!$B$4:$B$153,$A6,'Start-Class Minutes'!$K$4:$K$153),0)</f>
        <v>0.0856207504406951</v>
      </c>
      <c r="F6" s="8" t="n">
        <f aca="false">IFERROR(SUMIF('Start-Class Minutes'!$B$4:$B$153,$A6,'Start-Class Minutes'!$G$4:$G$153)/SUMIF('Start-Class Minutes'!$B$4:$B$153,$A6,'Start-Class Minutes'!$K$4:$K$153),0)</f>
        <v>0.0290103248552002</v>
      </c>
      <c r="G6" s="8" t="n">
        <f aca="false">IFERROR(SUMIF('Start-Class Minutes'!$B$4:$B$153,$A6,'Start-Class Minutes'!$H$4:$H$153)/SUMIF('Start-Class Minutes'!$B$4:$B$153,$A6,'Start-Class Minutes'!$K$4:$K$153),0)</f>
        <v>0.00266935280785696</v>
      </c>
      <c r="H6" s="8" t="n">
        <f aca="false">IFERROR(SUMIF('Start-Class Minutes'!$B$4:$B$153,$A6,'Start-Class Minutes'!$I$4:$I$153)/SUMIF('Start-Class Minutes'!$B$4:$B$153,$A6,'Start-Class Minutes'!$K$4:$K$153),0)</f>
        <v>0.00241752707126668</v>
      </c>
      <c r="I6" s="8" t="n">
        <f aca="false">IFERROR(SUMIF('Start-Class Minutes'!$B$4:$B$153,$A6,'Start-Class Minutes'!$J$4:$J$153)/SUMIF('Start-Class Minutes'!$B$4:$B$153,$A6,'Start-Class Minutes'!$K$4:$K$153),0)</f>
        <v>0.0440191387559809</v>
      </c>
    </row>
    <row r="7" customFormat="false" ht="15" hidden="false" customHeight="false" outlineLevel="0" collapsed="false">
      <c r="A7" s="7" t="s">
        <v>51</v>
      </c>
      <c r="B7" s="8" t="n">
        <f aca="false">IFERROR(SUMIF('Start-Class Minutes'!$B$4:$B$153,$A7,'Start-Class Minutes'!$C$4:$C$153)/SUMIF('Start-Class Minutes'!$B$4:$B$153,$A7,'Start-Class Minutes'!$K$4:$K$153),0)</f>
        <v>0.231430015159171</v>
      </c>
      <c r="C7" s="8" t="n">
        <f aca="false">IFERROR(SUMIF('Start-Class Minutes'!$B$4:$B$153,$A7,'Start-Class Minutes'!$D$4:$D$153)/SUMIF('Start-Class Minutes'!$B$4:$B$153,$A7,'Start-Class Minutes'!$K$4:$K$153),0)</f>
        <v>0.313491662455786</v>
      </c>
      <c r="D7" s="8" t="n">
        <f aca="false">IFERROR(SUMIF('Start-Class Minutes'!$B$4:$B$153,$A7,'Start-Class Minutes'!$E$4:$E$153)/SUMIF('Start-Class Minutes'!$B$4:$B$153,$A7,'Start-Class Minutes'!$K$4:$K$153),0)</f>
        <v>0.0436584133400707</v>
      </c>
      <c r="E7" s="8" t="n">
        <f aca="false">IFERROR(SUMIF('Start-Class Minutes'!$B$4:$B$153,$A7,'Start-Class Minutes'!$F$4:$F$153)/SUMIF('Start-Class Minutes'!$B$4:$B$153,$A7,'Start-Class Minutes'!$K$4:$K$153),0)</f>
        <v>0.160838807478525</v>
      </c>
      <c r="F7" s="8" t="n">
        <f aca="false">IFERROR(SUMIF('Start-Class Minutes'!$B$4:$B$153,$A7,'Start-Class Minutes'!$G$4:$G$153)/SUMIF('Start-Class Minutes'!$B$4:$B$153,$A7,'Start-Class Minutes'!$K$4:$K$153),0)</f>
        <v>0.041232945932289</v>
      </c>
      <c r="G7" s="8" t="n">
        <f aca="false">IFERROR(SUMIF('Start-Class Minutes'!$B$4:$B$153,$A7,'Start-Class Minutes'!$H$4:$H$153)/SUMIF('Start-Class Minutes'!$B$4:$B$153,$A7,'Start-Class Minutes'!$K$4:$K$153),0)</f>
        <v>0.0245073269327943</v>
      </c>
      <c r="H7" s="8" t="n">
        <f aca="false">IFERROR(SUMIF('Start-Class Minutes'!$B$4:$B$153,$A7,'Start-Class Minutes'!$I$4:$I$153)/SUMIF('Start-Class Minutes'!$B$4:$B$153,$A7,'Start-Class Minutes'!$K$4:$K$153),0)</f>
        <v>0.00970186963112683</v>
      </c>
      <c r="I7" s="8" t="n">
        <f aca="false">IFERROR(SUMIF('Start-Class Minutes'!$B$4:$B$153,$A7,'Start-Class Minutes'!$J$4:$J$153)/SUMIF('Start-Class Minutes'!$B$4:$B$153,$A7,'Start-Class Minutes'!$K$4:$K$153),0)</f>
        <v>0.175138959070238</v>
      </c>
    </row>
    <row r="8" customFormat="false" ht="15" hidden="false" customHeight="false" outlineLevel="0" collapsed="false">
      <c r="A8" s="7" t="s">
        <v>52</v>
      </c>
      <c r="B8" s="8" t="n">
        <f aca="false">IFERROR(SUMIF('Start-Class Minutes'!$B$4:$B$153,$A8,'Start-Class Minutes'!$C$4:$C$153)/SUMIF('Start-Class Minutes'!$B$4:$B$153,$A8,'Start-Class Minutes'!$K$4:$K$153),0)</f>
        <v>0.270769230769231</v>
      </c>
      <c r="C8" s="8" t="n">
        <f aca="false">IFERROR(SUMIF('Start-Class Minutes'!$B$4:$B$153,$A8,'Start-Class Minutes'!$D$4:$D$153)/SUMIF('Start-Class Minutes'!$B$4:$B$153,$A8,'Start-Class Minutes'!$K$4:$K$153),0)</f>
        <v>0.429407313997478</v>
      </c>
      <c r="D8" s="8" t="n">
        <f aca="false">IFERROR(SUMIF('Start-Class Minutes'!$B$4:$B$153,$A8,'Start-Class Minutes'!$E$4:$E$153)/SUMIF('Start-Class Minutes'!$B$4:$B$153,$A8,'Start-Class Minutes'!$K$4:$K$153),0)</f>
        <v>0.0172005044136192</v>
      </c>
      <c r="E8" s="8" t="n">
        <f aca="false">IFERROR(SUMIF('Start-Class Minutes'!$B$4:$B$153,$A8,'Start-Class Minutes'!$F$4:$F$153)/SUMIF('Start-Class Minutes'!$B$4:$B$153,$A8,'Start-Class Minutes'!$K$4:$K$153),0)</f>
        <v>0.187944514501892</v>
      </c>
      <c r="F8" s="8" t="n">
        <f aca="false">IFERROR(SUMIF('Start-Class Minutes'!$B$4:$B$153,$A8,'Start-Class Minutes'!$G$4:$G$153)/SUMIF('Start-Class Minutes'!$B$4:$B$153,$A8,'Start-Class Minutes'!$K$4:$K$153),0)</f>
        <v>0.0338965952080706</v>
      </c>
      <c r="G8" s="8" t="n">
        <f aca="false">IFERROR(SUMIF('Start-Class Minutes'!$B$4:$B$153,$A8,'Start-Class Minutes'!$H$4:$H$153)/SUMIF('Start-Class Minutes'!$B$4:$B$153,$A8,'Start-Class Minutes'!$K$4:$K$153),0)</f>
        <v>0</v>
      </c>
      <c r="H8" s="8" t="n">
        <f aca="false">IFERROR(SUMIF('Start-Class Minutes'!$B$4:$B$153,$A8,'Start-Class Minutes'!$I$4:$I$153)/SUMIF('Start-Class Minutes'!$B$4:$B$153,$A8,'Start-Class Minutes'!$K$4:$K$153),0)</f>
        <v>0</v>
      </c>
      <c r="I8" s="8" t="n">
        <f aca="false">IFERROR(SUMIF('Start-Class Minutes'!$B$4:$B$153,$A8,'Start-Class Minutes'!$J$4:$J$153)/SUMIF('Start-Class Minutes'!$B$4:$B$153,$A8,'Start-Class Minutes'!$K$4:$K$153),0)</f>
        <v>0.06078184110971</v>
      </c>
    </row>
    <row r="9" customFormat="false" ht="15" hidden="false" customHeight="false" outlineLevel="0" collapsed="false">
      <c r="A9" s="7" t="s">
        <v>53</v>
      </c>
      <c r="B9" s="8" t="n">
        <f aca="false">IFERROR(SUMIF('Start-Class Minutes'!$B$4:$B$153,$A9,'Start-Class Minutes'!$C$4:$C$153)/SUMIF('Start-Class Minutes'!$B$4:$B$153,$A9,'Start-Class Minutes'!$K$4:$K$153),0)</f>
        <v>0.423654283548143</v>
      </c>
      <c r="C9" s="8" t="n">
        <f aca="false">IFERROR(SUMIF('Start-Class Minutes'!$B$4:$B$153,$A9,'Start-Class Minutes'!$D$4:$D$153)/SUMIF('Start-Class Minutes'!$B$4:$B$153,$A9,'Start-Class Minutes'!$K$4:$K$153),0)</f>
        <v>0.361334344200152</v>
      </c>
      <c r="D9" s="8" t="n">
        <f aca="false">IFERROR(SUMIF('Start-Class Minutes'!$B$4:$B$153,$A9,'Start-Class Minutes'!$E$4:$E$153)/SUMIF('Start-Class Minutes'!$B$4:$B$153,$A9,'Start-Class Minutes'!$K$4:$K$153),0)</f>
        <v>0.0635835228708618</v>
      </c>
      <c r="E9" s="8" t="n">
        <f aca="false">IFERROR(SUMIF('Start-Class Minutes'!$B$4:$B$153,$A9,'Start-Class Minutes'!$F$4:$F$153)/SUMIF('Start-Class Minutes'!$B$4:$B$153,$A9,'Start-Class Minutes'!$K$4:$K$153),0)</f>
        <v>0.0560525650745514</v>
      </c>
      <c r="F9" s="8" t="n">
        <f aca="false">IFERROR(SUMIF('Start-Class Minutes'!$B$4:$B$153,$A9,'Start-Class Minutes'!$G$4:$G$153)/SUMIF('Start-Class Minutes'!$B$4:$B$153,$A9,'Start-Class Minutes'!$K$4:$K$153),0)</f>
        <v>0.0582259287338893</v>
      </c>
      <c r="G9" s="8" t="n">
        <f aca="false">IFERROR(SUMIF('Start-Class Minutes'!$B$4:$B$153,$A9,'Start-Class Minutes'!$H$4:$H$153)/SUMIF('Start-Class Minutes'!$B$4:$B$153,$A9,'Start-Class Minutes'!$K$4:$K$153),0)</f>
        <v>0.00242608036391205</v>
      </c>
      <c r="H9" s="8" t="n">
        <f aca="false">IFERROR(SUMIF('Start-Class Minutes'!$B$4:$B$153,$A9,'Start-Class Minutes'!$I$4:$I$153)/SUMIF('Start-Class Minutes'!$B$4:$B$153,$A9,'Start-Class Minutes'!$K$4:$K$153),0)</f>
        <v>0.00242608036391205</v>
      </c>
      <c r="I9" s="8" t="n">
        <f aca="false">IFERROR(SUMIF('Start-Class Minutes'!$B$4:$B$153,$A9,'Start-Class Minutes'!$J$4:$J$153)/SUMIF('Start-Class Minutes'!$B$4:$B$153,$A9,'Start-Class Minutes'!$K$4:$K$153),0)</f>
        <v>0.0322971948445792</v>
      </c>
    </row>
    <row r="10" customFormat="false" ht="15" hidden="false" customHeight="false" outlineLevel="0" collapsed="false">
      <c r="A10" s="7" t="s">
        <v>54</v>
      </c>
      <c r="B10" s="8" t="n">
        <f aca="false">IFERROR(SUMIF('Start-Class Minutes'!$B$4:$B$153,$A10,'Start-Class Minutes'!$C$4:$C$153)/SUMIF('Start-Class Minutes'!$B$4:$B$153,$A10,'Start-Class Minutes'!$K$4:$K$153),0)</f>
        <v>0.180954786562263</v>
      </c>
      <c r="C10" s="8" t="n">
        <f aca="false">IFERROR(SUMIF('Start-Class Minutes'!$B$4:$B$153,$A10,'Start-Class Minutes'!$D$4:$D$153)/SUMIF('Start-Class Minutes'!$B$4:$B$153,$A10,'Start-Class Minutes'!$K$4:$K$153),0)</f>
        <v>0.400202071230109</v>
      </c>
      <c r="D10" s="8" t="n">
        <f aca="false">IFERROR(SUMIF('Start-Class Minutes'!$B$4:$B$153,$A10,'Start-Class Minutes'!$E$4:$E$153)/SUMIF('Start-Class Minutes'!$B$4:$B$153,$A10,'Start-Class Minutes'!$K$4:$K$153),0)</f>
        <v>0.0904773932811316</v>
      </c>
      <c r="E10" s="8" t="n">
        <f aca="false">IFERROR(SUMIF('Start-Class Minutes'!$B$4:$B$153,$A10,'Start-Class Minutes'!$F$4:$F$153)/SUMIF('Start-Class Minutes'!$B$4:$B$153,$A10,'Start-Class Minutes'!$K$4:$K$153),0)</f>
        <v>0.160293003283657</v>
      </c>
      <c r="F10" s="8" t="n">
        <f aca="false">IFERROR(SUMIF('Start-Class Minutes'!$B$4:$B$153,$A10,'Start-Class Minutes'!$G$4:$G$153)/SUMIF('Start-Class Minutes'!$B$4:$B$153,$A10,'Start-Class Minutes'!$K$4:$K$153),0)</f>
        <v>0.0562768375852488</v>
      </c>
      <c r="G10" s="8" t="n">
        <f aca="false">IFERROR(SUMIF('Start-Class Minutes'!$B$4:$B$153,$A10,'Start-Class Minutes'!$H$4:$H$153)/SUMIF('Start-Class Minutes'!$B$4:$B$153,$A10,'Start-Class Minutes'!$K$4:$K$153),0)</f>
        <v>0.00727456428391008</v>
      </c>
      <c r="H10" s="8" t="n">
        <f aca="false">IFERROR(SUMIF('Start-Class Minutes'!$B$4:$B$153,$A10,'Start-Class Minutes'!$I$4:$I$153)/SUMIF('Start-Class Minutes'!$B$4:$B$153,$A10,'Start-Class Minutes'!$K$4:$K$153),0)</f>
        <v>0.00484970952260672</v>
      </c>
      <c r="I10" s="8" t="n">
        <f aca="false">IFERROR(SUMIF('Start-Class Minutes'!$B$4:$B$153,$A10,'Start-Class Minutes'!$J$4:$J$153)/SUMIF('Start-Class Minutes'!$B$4:$B$153,$A10,'Start-Class Minutes'!$K$4:$K$153),0)</f>
        <v>0.0996716342510735</v>
      </c>
    </row>
    <row r="11" customFormat="false" ht="15" hidden="false" customHeight="false" outlineLevel="0" collapsed="false">
      <c r="A11" s="7" t="s">
        <v>55</v>
      </c>
      <c r="B11" s="8" t="n">
        <f aca="false">IFERROR(SUMIF('Start-Class Minutes'!$B$4:$B$153,$A11,'Start-Class Minutes'!$C$4:$C$153)/SUMIF('Start-Class Minutes'!$B$4:$B$153,$A11,'Start-Class Minutes'!$K$4:$K$153),0)</f>
        <v>0.454467440686522</v>
      </c>
      <c r="C11" s="8" t="n">
        <f aca="false">IFERROR(SUMIF('Start-Class Minutes'!$B$4:$B$153,$A11,'Start-Class Minutes'!$D$4:$D$153)/SUMIF('Start-Class Minutes'!$B$4:$B$153,$A11,'Start-Class Minutes'!$K$4:$K$153),0)</f>
        <v>0.289348813730439</v>
      </c>
      <c r="D11" s="8" t="n">
        <f aca="false">IFERROR(SUMIF('Start-Class Minutes'!$B$4:$B$153,$A11,'Start-Class Minutes'!$E$4:$E$153)/SUMIF('Start-Class Minutes'!$B$4:$B$153,$A11,'Start-Class Minutes'!$K$4:$K$153),0)</f>
        <v>0.0826350328117113</v>
      </c>
      <c r="E11" s="8" t="n">
        <f aca="false">IFERROR(SUMIF('Start-Class Minutes'!$B$4:$B$153,$A11,'Start-Class Minutes'!$F$4:$F$153)/SUMIF('Start-Class Minutes'!$B$4:$B$153,$A11,'Start-Class Minutes'!$K$4:$K$153),0)</f>
        <v>0.0293286219081272</v>
      </c>
      <c r="F11" s="8" t="n">
        <f aca="false">IFERROR(SUMIF('Start-Class Minutes'!$B$4:$B$153,$A11,'Start-Class Minutes'!$G$4:$G$153)/SUMIF('Start-Class Minutes'!$B$4:$B$153,$A11,'Start-Class Minutes'!$K$4:$K$153),0)</f>
        <v>0.0734477536597678</v>
      </c>
      <c r="G11" s="8" t="n">
        <f aca="false">IFERROR(SUMIF('Start-Class Minutes'!$B$4:$B$153,$A11,'Start-Class Minutes'!$H$4:$H$153)/SUMIF('Start-Class Minutes'!$B$4:$B$153,$A11,'Start-Class Minutes'!$K$4:$K$153),0)</f>
        <v>0.00242301867743564</v>
      </c>
      <c r="H11" s="8" t="n">
        <f aca="false">IFERROR(SUMIF('Start-Class Minutes'!$B$4:$B$153,$A11,'Start-Class Minutes'!$I$4:$I$153)/SUMIF('Start-Class Minutes'!$B$4:$B$153,$A11,'Start-Class Minutes'!$K$4:$K$153),0)</f>
        <v>0.0145381120646138</v>
      </c>
      <c r="I11" s="8" t="n">
        <f aca="false">IFERROR(SUMIF('Start-Class Minutes'!$B$4:$B$153,$A11,'Start-Class Minutes'!$J$4:$J$153)/SUMIF('Start-Class Minutes'!$B$4:$B$153,$A11,'Start-Class Minutes'!$K$4:$K$153),0)</f>
        <v>0.0538112064613831</v>
      </c>
    </row>
    <row r="12" customFormat="false" ht="15" hidden="false" customHeight="false" outlineLevel="0" collapsed="false">
      <c r="A12" s="7" t="s">
        <v>56</v>
      </c>
      <c r="B12" s="8" t="n">
        <f aca="false">IFERROR(SUMIF('Start-Class Minutes'!$B$4:$B$153,$A12,'Start-Class Minutes'!$C$4:$C$153)/SUMIF('Start-Class Minutes'!$B$4:$B$153,$A12,'Start-Class Minutes'!$K$4:$K$153),0)</f>
        <v>0.389843355229914</v>
      </c>
      <c r="C12" s="8" t="n">
        <f aca="false">IFERROR(SUMIF('Start-Class Minutes'!$B$4:$B$153,$A12,'Start-Class Minutes'!$D$4:$D$153)/SUMIF('Start-Class Minutes'!$B$4:$B$153,$A12,'Start-Class Minutes'!$K$4:$K$153),0)</f>
        <v>0.324608388074785</v>
      </c>
      <c r="D12" s="8" t="n">
        <f aca="false">IFERROR(SUMIF('Start-Class Minutes'!$B$4:$B$153,$A12,'Start-Class Minutes'!$E$4:$E$153)/SUMIF('Start-Class Minutes'!$B$4:$B$153,$A12,'Start-Class Minutes'!$K$4:$K$153),0)</f>
        <v>0.102374936836786</v>
      </c>
      <c r="E12" s="8" t="n">
        <f aca="false">IFERROR(SUMIF('Start-Class Minutes'!$B$4:$B$153,$A12,'Start-Class Minutes'!$F$4:$F$153)/SUMIF('Start-Class Minutes'!$B$4:$B$153,$A12,'Start-Class Minutes'!$K$4:$K$153),0)</f>
        <v>0.0611419909044972</v>
      </c>
      <c r="F12" s="8" t="n">
        <f aca="false">IFERROR(SUMIF('Start-Class Minutes'!$B$4:$B$153,$A12,'Start-Class Minutes'!$G$4:$G$153)/SUMIF('Start-Class Minutes'!$B$4:$B$153,$A12,'Start-Class Minutes'!$K$4:$K$153),0)</f>
        <v>0.0269327943405761</v>
      </c>
      <c r="G12" s="8" t="n">
        <f aca="false">IFERROR(SUMIF('Start-Class Minutes'!$B$4:$B$153,$A12,'Start-Class Minutes'!$H$4:$H$153)/SUMIF('Start-Class Minutes'!$B$4:$B$153,$A12,'Start-Class Minutes'!$K$4:$K$153),0)</f>
        <v>0.00727640222334512</v>
      </c>
      <c r="H12" s="8" t="n">
        <f aca="false">IFERROR(SUMIF('Start-Class Minutes'!$B$4:$B$153,$A12,'Start-Class Minutes'!$I$4:$I$153)/SUMIF('Start-Class Minutes'!$B$4:$B$153,$A12,'Start-Class Minutes'!$K$4:$K$153),0)</f>
        <v>0.0121273370389085</v>
      </c>
      <c r="I12" s="8" t="n">
        <f aca="false">IFERROR(SUMIF('Start-Class Minutes'!$B$4:$B$153,$A12,'Start-Class Minutes'!$J$4:$J$153)/SUMIF('Start-Class Minutes'!$B$4:$B$153,$A12,'Start-Class Minutes'!$K$4:$K$153),0)</f>
        <v>0.0756947953511875</v>
      </c>
    </row>
    <row r="13" customFormat="false" ht="15" hidden="false" customHeight="false" outlineLevel="0" collapsed="false">
      <c r="A13" s="7" t="s">
        <v>57</v>
      </c>
      <c r="B13" s="8" t="n">
        <f aca="false">IFERROR(SUMIF('Start-Class Minutes'!$B$4:$B$153,$A13,'Start-Class Minutes'!$C$4:$C$153)/SUMIF('Start-Class Minutes'!$B$4:$B$153,$A13,'Start-Class Minutes'!$K$4:$K$153),0)</f>
        <v>0.158958807177154</v>
      </c>
      <c r="C13" s="8" t="n">
        <f aca="false">IFERROR(SUMIF('Start-Class Minutes'!$B$4:$B$153,$A13,'Start-Class Minutes'!$D$4:$D$153)/SUMIF('Start-Class Minutes'!$B$4:$B$153,$A13,'Start-Class Minutes'!$K$4:$K$153),0)</f>
        <v>0.273237300985595</v>
      </c>
      <c r="D13" s="8" t="n">
        <f aca="false">IFERROR(SUMIF('Start-Class Minutes'!$B$4:$B$153,$A13,'Start-Class Minutes'!$E$4:$E$153)/SUMIF('Start-Class Minutes'!$B$4:$B$153,$A13,'Start-Class Minutes'!$K$4:$K$153),0)</f>
        <v>0.0339651250947688</v>
      </c>
      <c r="E13" s="8" t="n">
        <f aca="false">IFERROR(SUMIF('Start-Class Minutes'!$B$4:$B$153,$A13,'Start-Class Minutes'!$F$4:$F$153)/SUMIF('Start-Class Minutes'!$B$4:$B$153,$A13,'Start-Class Minutes'!$K$4:$K$153),0)</f>
        <v>0.215011372251706</v>
      </c>
      <c r="F13" s="8" t="n">
        <f aca="false">IFERROR(SUMIF('Start-Class Minutes'!$B$4:$B$153,$A13,'Start-Class Minutes'!$G$4:$G$153)/SUMIF('Start-Class Minutes'!$B$4:$B$153,$A13,'Start-Class Minutes'!$K$4:$K$153),0)</f>
        <v>0.104574172352793</v>
      </c>
      <c r="G13" s="8" t="n">
        <f aca="false">IFERROR(SUMIF('Start-Class Minutes'!$B$4:$B$153,$A13,'Start-Class Minutes'!$H$4:$H$153)/SUMIF('Start-Class Minutes'!$B$4:$B$153,$A13,'Start-Class Minutes'!$K$4:$K$153),0)</f>
        <v>0.0194086429112964</v>
      </c>
      <c r="H13" s="8" t="n">
        <f aca="false">IFERROR(SUMIF('Start-Class Minutes'!$B$4:$B$153,$A13,'Start-Class Minutes'!$I$4:$I$153)/SUMIF('Start-Class Minutes'!$B$4:$B$153,$A13,'Start-Class Minutes'!$K$4:$K$153),0)</f>
        <v>0</v>
      </c>
      <c r="I13" s="8" t="n">
        <f aca="false">IFERROR(SUMIF('Start-Class Minutes'!$B$4:$B$153,$A13,'Start-Class Minutes'!$J$4:$J$153)/SUMIF('Start-Class Minutes'!$B$4:$B$153,$A13,'Start-Class Minutes'!$K$4:$K$153),0)</f>
        <v>0.194844579226687</v>
      </c>
    </row>
    <row r="14" customFormat="false" ht="15" hidden="false" customHeight="false" outlineLevel="0" collapsed="false">
      <c r="A14" s="7" t="s">
        <v>58</v>
      </c>
      <c r="B14" s="8" t="n">
        <f aca="false">IFERROR(SUMIF('Start-Class Minutes'!$B$4:$B$153,$A14,'Start-Class Minutes'!$C$4:$C$153)/SUMIF('Start-Class Minutes'!$B$4:$B$153,$A14,'Start-Class Minutes'!$K$4:$K$153),0)</f>
        <v>0.430893488137304</v>
      </c>
      <c r="C14" s="8" t="n">
        <f aca="false">IFERROR(SUMIF('Start-Class Minutes'!$B$4:$B$153,$A14,'Start-Class Minutes'!$D$4:$D$153)/SUMIF('Start-Class Minutes'!$B$4:$B$153,$A14,'Start-Class Minutes'!$K$4:$K$153),0)</f>
        <v>0.31125694093892</v>
      </c>
      <c r="D14" s="8" t="n">
        <f aca="false">IFERROR(SUMIF('Start-Class Minutes'!$B$4:$B$153,$A14,'Start-Class Minutes'!$E$4:$E$153)/SUMIF('Start-Class Minutes'!$B$4:$B$153,$A14,'Start-Class Minutes'!$K$4:$K$153),0)</f>
        <v>0.119485108531045</v>
      </c>
      <c r="E14" s="8" t="n">
        <f aca="false">IFERROR(SUMIF('Start-Class Minutes'!$B$4:$B$153,$A14,'Start-Class Minutes'!$F$4:$F$153)/SUMIF('Start-Class Minutes'!$B$4:$B$153,$A14,'Start-Class Minutes'!$K$4:$K$153),0)</f>
        <v>0.0535588086824836</v>
      </c>
      <c r="F14" s="8" t="n">
        <f aca="false">IFERROR(SUMIF('Start-Class Minutes'!$B$4:$B$153,$A14,'Start-Class Minutes'!$G$4:$G$153)/SUMIF('Start-Class Minutes'!$B$4:$B$153,$A14,'Start-Class Minutes'!$K$4:$K$153),0)</f>
        <v>0.0508833922261484</v>
      </c>
      <c r="G14" s="8" t="n">
        <f aca="false">IFERROR(SUMIF('Start-Class Minutes'!$B$4:$B$153,$A14,'Start-Class Minutes'!$H$4:$H$153)/SUMIF('Start-Class Minutes'!$B$4:$B$153,$A14,'Start-Class Minutes'!$K$4:$K$153),0)</f>
        <v>0.0121150933871782</v>
      </c>
      <c r="H14" s="8" t="n">
        <f aca="false">IFERROR(SUMIF('Start-Class Minutes'!$B$4:$B$153,$A14,'Start-Class Minutes'!$I$4:$I$153)/SUMIF('Start-Class Minutes'!$B$4:$B$153,$A14,'Start-Class Minutes'!$K$4:$K$153),0)</f>
        <v>0</v>
      </c>
      <c r="I14" s="8" t="n">
        <f aca="false">IFERROR(SUMIF('Start-Class Minutes'!$B$4:$B$153,$A14,'Start-Class Minutes'!$J$4:$J$153)/SUMIF('Start-Class Minutes'!$B$4:$B$153,$A14,'Start-Class Minutes'!$K$4:$K$153),0)</f>
        <v>0.0218071680969207</v>
      </c>
    </row>
    <row r="15" customFormat="false" ht="15" hidden="false" customHeight="false" outlineLevel="0" collapsed="false">
      <c r="A15" s="7" t="s">
        <v>59</v>
      </c>
      <c r="B15" s="8" t="n">
        <f aca="false">IFERROR(SUMIF('Start-Class Minutes'!$B$4:$B$153,$A15,'Start-Class Minutes'!$C$4:$C$153)/SUMIF('Start-Class Minutes'!$B$4:$B$153,$A15,'Start-Class Minutes'!$K$4:$K$153),0)</f>
        <v>0.251339060131379</v>
      </c>
      <c r="C15" s="8" t="n">
        <f aca="false">IFERROR(SUMIF('Start-Class Minutes'!$B$4:$B$153,$A15,'Start-Class Minutes'!$D$4:$D$153)/SUMIF('Start-Class Minutes'!$B$4:$B$153,$A15,'Start-Class Minutes'!$K$4:$K$153),0)</f>
        <v>0.231430015159171</v>
      </c>
      <c r="D15" s="8" t="n">
        <f aca="false">IFERROR(SUMIF('Start-Class Minutes'!$B$4:$B$153,$A15,'Start-Class Minutes'!$E$4:$E$153)/SUMIF('Start-Class Minutes'!$B$4:$B$153,$A15,'Start-Class Minutes'!$K$4:$K$153),0)</f>
        <v>0.100454775138959</v>
      </c>
      <c r="E15" s="8" t="n">
        <f aca="false">IFERROR(SUMIF('Start-Class Minutes'!$B$4:$B$153,$A15,'Start-Class Minutes'!$F$4:$F$153)/SUMIF('Start-Class Minutes'!$B$4:$B$153,$A15,'Start-Class Minutes'!$K$4:$K$153),0)</f>
        <v>0.141182415361294</v>
      </c>
      <c r="F15" s="8" t="n">
        <f aca="false">IFERROR(SUMIF('Start-Class Minutes'!$B$4:$B$153,$A15,'Start-Class Minutes'!$G$4:$G$153)/SUMIF('Start-Class Minutes'!$B$4:$B$153,$A15,'Start-Class Minutes'!$K$4:$K$153),0)</f>
        <v>0.0754421424962102</v>
      </c>
      <c r="G15" s="8" t="n">
        <f aca="false">IFERROR(SUMIF('Start-Class Minutes'!$B$4:$B$153,$A15,'Start-Class Minutes'!$H$4:$H$153)/SUMIF('Start-Class Minutes'!$B$4:$B$153,$A15,'Start-Class Minutes'!$K$4:$K$153),0)</f>
        <v>0.0123799898938858</v>
      </c>
      <c r="H15" s="8" t="n">
        <f aca="false">IFERROR(SUMIF('Start-Class Minutes'!$B$4:$B$153,$A15,'Start-Class Minutes'!$I$4:$I$153)/SUMIF('Start-Class Minutes'!$B$4:$B$153,$A15,'Start-Class Minutes'!$K$4:$K$153),0)</f>
        <v>0.00242546740778171</v>
      </c>
      <c r="I15" s="8" t="n">
        <f aca="false">IFERROR(SUMIF('Start-Class Minutes'!$B$4:$B$153,$A15,'Start-Class Minutes'!$J$4:$J$153)/SUMIF('Start-Class Minutes'!$B$4:$B$153,$A15,'Start-Class Minutes'!$K$4:$K$153),0)</f>
        <v>0.185346134411319</v>
      </c>
    </row>
    <row r="16" customFormat="false" ht="15" hidden="false" customHeight="false" outlineLevel="0" collapsed="false">
      <c r="A16" s="7" t="s">
        <v>60</v>
      </c>
      <c r="B16" s="8" t="n">
        <f aca="false">IFERROR(SUMIF('Start-Class Minutes'!$B$4:$B$153,$A16,'Start-Class Minutes'!$C$4:$C$153)/SUMIF('Start-Class Minutes'!$B$4:$B$153,$A16,'Start-Class Minutes'!$K$4:$K$153),0)</f>
        <v>0.336147623862487</v>
      </c>
      <c r="C16" s="8" t="n">
        <f aca="false">IFERROR(SUMIF('Start-Class Minutes'!$B$4:$B$153,$A16,'Start-Class Minutes'!$D$4:$D$153)/SUMIF('Start-Class Minutes'!$B$4:$B$153,$A16,'Start-Class Minutes'!$K$4:$K$153),0)</f>
        <v>0.366531850353893</v>
      </c>
      <c r="D16" s="8" t="n">
        <f aca="false">IFERROR(SUMIF('Start-Class Minutes'!$B$4:$B$153,$A16,'Start-Class Minutes'!$E$4:$E$153)/SUMIF('Start-Class Minutes'!$B$4:$B$153,$A16,'Start-Class Minutes'!$K$4:$K$153),0)</f>
        <v>0.0922143579373104</v>
      </c>
      <c r="E16" s="8" t="n">
        <f aca="false">IFERROR(SUMIF('Start-Class Minutes'!$B$4:$B$153,$A16,'Start-Class Minutes'!$F$4:$F$153)/SUMIF('Start-Class Minutes'!$B$4:$B$153,$A16,'Start-Class Minutes'!$K$4:$K$153),0)</f>
        <v>0.0851870576339737</v>
      </c>
      <c r="F16" s="8" t="n">
        <f aca="false">IFERROR(SUMIF('Start-Class Minutes'!$B$4:$B$153,$A16,'Start-Class Minutes'!$G$4:$G$153)/SUMIF('Start-Class Minutes'!$B$4:$B$153,$A16,'Start-Class Minutes'!$K$4:$K$153),0)</f>
        <v>0.0536400404448938</v>
      </c>
      <c r="G16" s="8" t="n">
        <f aca="false">IFERROR(SUMIF('Start-Class Minutes'!$B$4:$B$153,$A16,'Start-Class Minutes'!$H$4:$H$153)/SUMIF('Start-Class Minutes'!$B$4:$B$153,$A16,'Start-Class Minutes'!$K$4:$K$153),0)</f>
        <v>0.00242669362992922</v>
      </c>
      <c r="H16" s="8" t="n">
        <f aca="false">IFERROR(SUMIF('Start-Class Minutes'!$B$4:$B$153,$A16,'Start-Class Minutes'!$I$4:$I$153)/SUMIF('Start-Class Minutes'!$B$4:$B$153,$A16,'Start-Class Minutes'!$K$4:$K$153),0)</f>
        <v>0.00242669362992922</v>
      </c>
      <c r="I16" s="8" t="n">
        <f aca="false">IFERROR(SUMIF('Start-Class Minutes'!$B$4:$B$153,$A16,'Start-Class Minutes'!$J$4:$J$153)/SUMIF('Start-Class Minutes'!$B$4:$B$153,$A16,'Start-Class Minutes'!$K$4:$K$153),0)</f>
        <v>0.0614256825075834</v>
      </c>
    </row>
    <row r="17" customFormat="false" ht="15" hidden="false" customHeight="false" outlineLevel="0" collapsed="false">
      <c r="A17" s="7" t="s">
        <v>61</v>
      </c>
      <c r="B17" s="8" t="n">
        <f aca="false">IFERROR(SUMIF('Start-Class Minutes'!$B$4:$B$153,$A17,'Start-Class Minutes'!$C$4:$C$153)/SUMIF('Start-Class Minutes'!$B$4:$B$153,$A17,'Start-Class Minutes'!$K$4:$K$153),0)</f>
        <v>0.148907524040522</v>
      </c>
      <c r="C17" s="8" t="n">
        <f aca="false">IFERROR(SUMIF('Start-Class Minutes'!$B$4:$B$153,$A17,'Start-Class Minutes'!$D$4:$D$153)/SUMIF('Start-Class Minutes'!$B$4:$B$153,$A17,'Start-Class Minutes'!$K$4:$K$153),0)</f>
        <v>0.423229170343551</v>
      </c>
      <c r="D17" s="8" t="n">
        <f aca="false">IFERROR(SUMIF('Start-Class Minutes'!$B$4:$B$153,$A17,'Start-Class Minutes'!$E$4:$E$153)/SUMIF('Start-Class Minutes'!$B$4:$B$153,$A17,'Start-Class Minutes'!$K$4:$K$153),0)</f>
        <v>0.0314657280735814</v>
      </c>
      <c r="E17" s="8" t="n">
        <f aca="false">IFERROR(SUMIF('Start-Class Minutes'!$B$4:$B$153,$A17,'Start-Class Minutes'!$F$4:$F$153)/SUMIF('Start-Class Minutes'!$B$4:$B$153,$A17,'Start-Class Minutes'!$K$4:$K$153),0)</f>
        <v>0.146234954188119</v>
      </c>
      <c r="F17" s="8" t="n">
        <f aca="false">IFERROR(SUMIF('Start-Class Minutes'!$B$4:$B$153,$A17,'Start-Class Minutes'!$G$4:$G$153)/SUMIF('Start-Class Minutes'!$B$4:$B$153,$A17,'Start-Class Minutes'!$K$4:$K$153),0)</f>
        <v>0.0566786512094639</v>
      </c>
      <c r="G17" s="8" t="n">
        <f aca="false">IFERROR(SUMIF('Start-Class Minutes'!$B$4:$B$153,$A17,'Start-Class Minutes'!$H$4:$H$153)/SUMIF('Start-Class Minutes'!$B$4:$B$153,$A17,'Start-Class Minutes'!$K$4:$K$153),0)</f>
        <v>0.0174473428100307</v>
      </c>
      <c r="H17" s="8" t="n">
        <f aca="false">IFERROR(SUMIF('Start-Class Minutes'!$B$4:$B$153,$A17,'Start-Class Minutes'!$I$4:$I$153)/SUMIF('Start-Class Minutes'!$B$4:$B$153,$A17,'Start-Class Minutes'!$K$4:$K$153),0)</f>
        <v>0</v>
      </c>
      <c r="I17" s="8" t="n">
        <f aca="false">IFERROR(SUMIF('Start-Class Minutes'!$B$4:$B$153,$A17,'Start-Class Minutes'!$J$4:$J$153)/SUMIF('Start-Class Minutes'!$B$4:$B$153,$A17,'Start-Class Minutes'!$K$4:$K$153),0)</f>
        <v>0.176036629334732</v>
      </c>
    </row>
    <row r="18" customFormat="false" ht="15" hidden="false" customHeight="false" outlineLevel="0" collapsed="false">
      <c r="A18" s="7" t="s">
        <v>62</v>
      </c>
      <c r="B18" s="8" t="n">
        <f aca="false">IFERROR(SUMIF('Start-Class Minutes'!$B$4:$B$153,$A18,'Start-Class Minutes'!$C$4:$C$153)/SUMIF('Start-Class Minutes'!$B$4:$B$153,$A18,'Start-Class Minutes'!$K$4:$K$153),0)</f>
        <v>0.126846897920136</v>
      </c>
      <c r="C18" s="8" t="n">
        <f aca="false">IFERROR(SUMIF('Start-Class Minutes'!$B$4:$B$153,$A18,'Start-Class Minutes'!$D$4:$D$153)/SUMIF('Start-Class Minutes'!$B$4:$B$153,$A18,'Start-Class Minutes'!$K$4:$K$153),0)</f>
        <v>0.334124650108068</v>
      </c>
      <c r="D18" s="8" t="n">
        <f aca="false">IFERROR(SUMIF('Start-Class Minutes'!$B$4:$B$153,$A18,'Start-Class Minutes'!$E$4:$E$153)/SUMIF('Start-Class Minutes'!$B$4:$B$153,$A18,'Start-Class Minutes'!$K$4:$K$153),0)</f>
        <v>0.0439864143226649</v>
      </c>
      <c r="E18" s="8" t="n">
        <f aca="false">IFERROR(SUMIF('Start-Class Minutes'!$B$4:$B$153,$A18,'Start-Class Minutes'!$F$4:$F$153)/SUMIF('Start-Class Minutes'!$B$4:$B$153,$A18,'Start-Class Minutes'!$K$4:$K$153),0)</f>
        <v>0.173516027960984</v>
      </c>
      <c r="F18" s="8" t="n">
        <f aca="false">IFERROR(SUMIF('Start-Class Minutes'!$B$4:$B$153,$A18,'Start-Class Minutes'!$G$4:$G$153)/SUMIF('Start-Class Minutes'!$B$4:$B$153,$A18,'Start-Class Minutes'!$K$4:$K$153),0)</f>
        <v>0.0682827076194188</v>
      </c>
      <c r="G18" s="8" t="n">
        <f aca="false">IFERROR(SUMIF('Start-Class Minutes'!$B$4:$B$153,$A18,'Start-Class Minutes'!$H$4:$H$153)/SUMIF('Start-Class Minutes'!$B$4:$B$153,$A18,'Start-Class Minutes'!$K$4:$K$153),0)</f>
        <v>0.012148146648377</v>
      </c>
      <c r="H18" s="8" t="n">
        <f aca="false">IFERROR(SUMIF('Start-Class Minutes'!$B$4:$B$153,$A18,'Start-Class Minutes'!$I$4:$I$153)/SUMIF('Start-Class Minutes'!$B$4:$B$153,$A18,'Start-Class Minutes'!$K$4:$K$153),0)</f>
        <v>0.00242962932967539</v>
      </c>
      <c r="I18" s="8" t="n">
        <f aca="false">IFERROR(SUMIF('Start-Class Minutes'!$B$4:$B$153,$A18,'Start-Class Minutes'!$J$4:$J$153)/SUMIF('Start-Class Minutes'!$B$4:$B$153,$A18,'Start-Class Minutes'!$K$4:$K$153),0)</f>
        <v>0.238665526090676</v>
      </c>
    </row>
    <row r="19" customFormat="false" ht="15" hidden="false" customHeight="false" outlineLevel="0" collapsed="false">
      <c r="A19" s="7" t="s">
        <v>63</v>
      </c>
      <c r="B19" s="8" t="n">
        <f aca="false">IFERROR(SUMIF('Start-Class Minutes'!$B$4:$B$153,$A19,'Start-Class Minutes'!$C$4:$C$153)/SUMIF('Start-Class Minutes'!$B$4:$B$153,$A19,'Start-Class Minutes'!$K$4:$K$153),0)</f>
        <v>0.121403331650681</v>
      </c>
      <c r="C19" s="8" t="n">
        <f aca="false">IFERROR(SUMIF('Start-Class Minutes'!$B$4:$B$153,$A19,'Start-Class Minutes'!$D$4:$D$153)/SUMIF('Start-Class Minutes'!$B$4:$B$153,$A19,'Start-Class Minutes'!$K$4:$K$153),0)</f>
        <v>0.285259969712267</v>
      </c>
      <c r="D19" s="8" t="n">
        <f aca="false">IFERROR(SUMIF('Start-Class Minutes'!$B$4:$B$153,$A19,'Start-Class Minutes'!$E$4:$E$153)/SUMIF('Start-Class Minutes'!$B$4:$B$153,$A19,'Start-Class Minutes'!$K$4:$K$153),0)</f>
        <v>0.0414437152953054</v>
      </c>
      <c r="E19" s="8" t="n">
        <f aca="false">IFERROR(SUMIF('Start-Class Minutes'!$B$4:$B$153,$A19,'Start-Class Minutes'!$F$4:$F$153)/SUMIF('Start-Class Minutes'!$B$4:$B$153,$A19,'Start-Class Minutes'!$K$4:$K$153),0)</f>
        <v>0.146643109540636</v>
      </c>
      <c r="F19" s="8" t="n">
        <f aca="false">IFERROR(SUMIF('Start-Class Minutes'!$B$4:$B$153,$A19,'Start-Class Minutes'!$G$4:$G$153)/SUMIF('Start-Class Minutes'!$B$4:$B$153,$A19,'Start-Class Minutes'!$K$4:$K$153),0)</f>
        <v>0.0974255426552246</v>
      </c>
      <c r="G19" s="8" t="n">
        <f aca="false">IFERROR(SUMIF('Start-Class Minutes'!$B$4:$B$153,$A19,'Start-Class Minutes'!$H$4:$H$153)/SUMIF('Start-Class Minutes'!$B$4:$B$153,$A19,'Start-Class Minutes'!$K$4:$K$153),0)</f>
        <v>0.0145381120646138</v>
      </c>
      <c r="H19" s="8" t="n">
        <f aca="false">IFERROR(SUMIF('Start-Class Minutes'!$B$4:$B$153,$A19,'Start-Class Minutes'!$I$4:$I$153)/SUMIF('Start-Class Minutes'!$B$4:$B$153,$A19,'Start-Class Minutes'!$K$4:$K$153),0)</f>
        <v>0.00484603735487128</v>
      </c>
      <c r="I19" s="8" t="n">
        <f aca="false">IFERROR(SUMIF('Start-Class Minutes'!$B$4:$B$153,$A19,'Start-Class Minutes'!$J$4:$J$153)/SUMIF('Start-Class Minutes'!$B$4:$B$153,$A19,'Start-Class Minutes'!$K$4:$K$153),0)</f>
        <v>0.288440181726401</v>
      </c>
    </row>
    <row r="20" customFormat="false" ht="15" hidden="false" customHeight="false" outlineLevel="0" collapsed="false">
      <c r="A20" s="7" t="s">
        <v>64</v>
      </c>
      <c r="B20" s="8" t="n">
        <f aca="false">IFERROR(SUMIF('Start-Class Minutes'!$B$4:$B$153,$A20,'Start-Class Minutes'!$C$4:$C$153)/SUMIF('Start-Class Minutes'!$B$4:$B$153,$A20,'Start-Class Minutes'!$K$4:$K$153),0)</f>
        <v>0.285187057633974</v>
      </c>
      <c r="C20" s="8" t="n">
        <f aca="false">IFERROR(SUMIF('Start-Class Minutes'!$B$4:$B$153,$A20,'Start-Class Minutes'!$D$4:$D$153)/SUMIF('Start-Class Minutes'!$B$4:$B$153,$A20,'Start-Class Minutes'!$K$4:$K$153),0)</f>
        <v>0.316228513650152</v>
      </c>
      <c r="D20" s="8" t="n">
        <f aca="false">IFERROR(SUMIF('Start-Class Minutes'!$B$4:$B$153,$A20,'Start-Class Minutes'!$E$4:$E$153)/SUMIF('Start-Class Minutes'!$B$4:$B$153,$A20,'Start-Class Minutes'!$K$4:$K$153),0)</f>
        <v>0.163346814964611</v>
      </c>
      <c r="E20" s="8" t="n">
        <f aca="false">IFERROR(SUMIF('Start-Class Minutes'!$B$4:$B$153,$A20,'Start-Class Minutes'!$F$4:$F$153)/SUMIF('Start-Class Minutes'!$B$4:$B$153,$A20,'Start-Class Minutes'!$K$4:$K$153),0)</f>
        <v>0.0762386248736097</v>
      </c>
      <c r="F20" s="8" t="n">
        <f aca="false">IFERROR(SUMIF('Start-Class Minutes'!$B$4:$B$153,$A20,'Start-Class Minutes'!$G$4:$G$153)/SUMIF('Start-Class Minutes'!$B$4:$B$153,$A20,'Start-Class Minutes'!$K$4:$K$153),0)</f>
        <v>0.0609201213346815</v>
      </c>
      <c r="G20" s="8" t="n">
        <f aca="false">IFERROR(SUMIF('Start-Class Minutes'!$B$4:$B$153,$A20,'Start-Class Minutes'!$H$4:$H$153)/SUMIF('Start-Class Minutes'!$B$4:$B$153,$A20,'Start-Class Minutes'!$K$4:$K$153),0)</f>
        <v>0.0121334681496461</v>
      </c>
      <c r="H20" s="8" t="n">
        <f aca="false">IFERROR(SUMIF('Start-Class Minutes'!$B$4:$B$153,$A20,'Start-Class Minutes'!$I$4:$I$153)/SUMIF('Start-Class Minutes'!$B$4:$B$153,$A20,'Start-Class Minutes'!$K$4:$K$153),0)</f>
        <v>0.00242669362992922</v>
      </c>
      <c r="I20" s="8" t="n">
        <f aca="false">IFERROR(SUMIF('Start-Class Minutes'!$B$4:$B$153,$A20,'Start-Class Minutes'!$J$4:$J$153)/SUMIF('Start-Class Minutes'!$B$4:$B$153,$A20,'Start-Class Minutes'!$K$4:$K$153),0)</f>
        <v>0.0835187057633974</v>
      </c>
    </row>
    <row r="21" customFormat="false" ht="15" hidden="false" customHeight="false" outlineLevel="0" collapsed="false">
      <c r="A21" s="7" t="s">
        <v>65</v>
      </c>
      <c r="B21" s="8" t="n">
        <f aca="false">IFERROR(SUMIF('Start-Class Minutes'!$B$4:$B$153,$A21,'Start-Class Minutes'!$C$4:$C$153)/SUMIF('Start-Class Minutes'!$B$4:$B$153,$A21,'Start-Class Minutes'!$K$4:$K$153),0)</f>
        <v>0.588134309517799</v>
      </c>
      <c r="C21" s="8" t="n">
        <f aca="false">IFERROR(SUMIF('Start-Class Minutes'!$B$4:$B$153,$A21,'Start-Class Minutes'!$D$4:$D$153)/SUMIF('Start-Class Minutes'!$B$4:$B$153,$A21,'Start-Class Minutes'!$K$4:$K$153),0)</f>
        <v>0.229336026255996</v>
      </c>
      <c r="D21" s="8" t="n">
        <f aca="false">IFERROR(SUMIF('Start-Class Minutes'!$B$4:$B$153,$A21,'Start-Class Minutes'!$E$4:$E$153)/SUMIF('Start-Class Minutes'!$B$4:$B$153,$A21,'Start-Class Minutes'!$K$4:$K$153),0)</f>
        <v>0.051148699823277</v>
      </c>
      <c r="E21" s="8" t="n">
        <f aca="false">IFERROR(SUMIF('Start-Class Minutes'!$B$4:$B$153,$A21,'Start-Class Minutes'!$F$4:$F$153)/SUMIF('Start-Class Minutes'!$B$4:$B$153,$A21,'Start-Class Minutes'!$K$4:$K$153),0)</f>
        <v>0.0535723302196415</v>
      </c>
      <c r="F21" s="8" t="n">
        <f aca="false">IFERROR(SUMIF('Start-Class Minutes'!$B$4:$B$153,$A21,'Start-Class Minutes'!$G$4:$G$153)/SUMIF('Start-Class Minutes'!$B$4:$B$153,$A21,'Start-Class Minutes'!$K$4:$K$153),0)</f>
        <v>0.0535723302196415</v>
      </c>
      <c r="G21" s="8" t="n">
        <f aca="false">IFERROR(SUMIF('Start-Class Minutes'!$B$4:$B$153,$A21,'Start-Class Minutes'!$H$4:$H$153)/SUMIF('Start-Class Minutes'!$B$4:$B$153,$A21,'Start-Class Minutes'!$K$4:$K$153),0)</f>
        <v>0</v>
      </c>
      <c r="H21" s="8" t="n">
        <f aca="false">IFERROR(SUMIF('Start-Class Minutes'!$B$4:$B$153,$A21,'Start-Class Minutes'!$I$4:$I$153)/SUMIF('Start-Class Minutes'!$B$4:$B$153,$A21,'Start-Class Minutes'!$K$4:$K$153),0)</f>
        <v>0</v>
      </c>
      <c r="I21" s="8" t="n">
        <f aca="false">IFERROR(SUMIF('Start-Class Minutes'!$B$4:$B$153,$A21,'Start-Class Minutes'!$J$4:$J$153)/SUMIF('Start-Class Minutes'!$B$4:$B$153,$A21,'Start-Class Minutes'!$K$4:$K$153),0)</f>
        <v>0.0242363039636455</v>
      </c>
    </row>
    <row r="22" customFormat="false" ht="15" hidden="false" customHeight="false" outlineLevel="0" collapsed="false">
      <c r="A22" s="7" t="s">
        <v>66</v>
      </c>
      <c r="B22" s="8" t="n">
        <f aca="false">IFERROR(SUMIF('Start-Class Minutes'!$B$4:$B$153,$A22,'Start-Class Minutes'!$C$4:$C$153)/SUMIF('Start-Class Minutes'!$B$4:$B$153,$A22,'Start-Class Minutes'!$K$4:$K$153),0)</f>
        <v>0.366877370417193</v>
      </c>
      <c r="C22" s="8" t="n">
        <f aca="false">IFERROR(SUMIF('Start-Class Minutes'!$B$4:$B$153,$A22,'Start-Class Minutes'!$D$4:$D$153)/SUMIF('Start-Class Minutes'!$B$4:$B$153,$A22,'Start-Class Minutes'!$K$4:$K$153),0)</f>
        <v>0.270442477876106</v>
      </c>
      <c r="D22" s="8" t="n">
        <f aca="false">IFERROR(SUMIF('Start-Class Minutes'!$B$4:$B$153,$A22,'Start-Class Minutes'!$E$4:$E$153)/SUMIF('Start-Class Minutes'!$B$4:$B$153,$A22,'Start-Class Minutes'!$K$4:$K$153),0)</f>
        <v>0.0951706700379267</v>
      </c>
      <c r="E22" s="8" t="n">
        <f aca="false">IFERROR(SUMIF('Start-Class Minutes'!$B$4:$B$153,$A22,'Start-Class Minutes'!$F$4:$F$153)/SUMIF('Start-Class Minutes'!$B$4:$B$153,$A22,'Start-Class Minutes'!$K$4:$K$153),0)</f>
        <v>0.0342351453855879</v>
      </c>
      <c r="F22" s="8" t="n">
        <f aca="false">IFERROR(SUMIF('Start-Class Minutes'!$B$4:$B$153,$A22,'Start-Class Minutes'!$G$4:$G$153)/SUMIF('Start-Class Minutes'!$B$4:$B$153,$A22,'Start-Class Minutes'!$K$4:$K$153),0)</f>
        <v>0.0827812895069532</v>
      </c>
      <c r="G22" s="8" t="n">
        <f aca="false">IFERROR(SUMIF('Start-Class Minutes'!$B$4:$B$153,$A22,'Start-Class Minutes'!$H$4:$H$153)/SUMIF('Start-Class Minutes'!$B$4:$B$153,$A22,'Start-Class Minutes'!$K$4:$K$153),0)</f>
        <v>0.0509734513274336</v>
      </c>
      <c r="H22" s="8" t="n">
        <f aca="false">IFERROR(SUMIF('Start-Class Minutes'!$B$4:$B$153,$A22,'Start-Class Minutes'!$I$4:$I$153)/SUMIF('Start-Class Minutes'!$B$4:$B$153,$A22,'Start-Class Minutes'!$K$4:$K$153),0)</f>
        <v>0.00970922882427307</v>
      </c>
      <c r="I22" s="8" t="n">
        <f aca="false">IFERROR(SUMIF('Start-Class Minutes'!$B$4:$B$153,$A22,'Start-Class Minutes'!$J$4:$J$153)/SUMIF('Start-Class Minutes'!$B$4:$B$153,$A22,'Start-Class Minutes'!$K$4:$K$153),0)</f>
        <v>0.0898103666245259</v>
      </c>
    </row>
    <row r="23" customFormat="false" ht="15" hidden="false" customHeight="false" outlineLevel="0" collapsed="false">
      <c r="A23" s="7" t="s">
        <v>67</v>
      </c>
      <c r="B23" s="8" t="n">
        <f aca="false">IFERROR(SUMIF('Start-Class Minutes'!$B$4:$B$153,$A23,'Start-Class Minutes'!$C$4:$C$153)/SUMIF('Start-Class Minutes'!$B$4:$B$153,$A23,'Start-Class Minutes'!$K$4:$K$153),0)</f>
        <v>0.323864783047427</v>
      </c>
      <c r="C23" s="8" t="n">
        <f aca="false">IFERROR(SUMIF('Start-Class Minutes'!$B$4:$B$153,$A23,'Start-Class Minutes'!$D$4:$D$153)/SUMIF('Start-Class Minutes'!$B$4:$B$153,$A23,'Start-Class Minutes'!$K$4:$K$153),0)</f>
        <v>0.283198789101917</v>
      </c>
      <c r="D23" s="8" t="n">
        <f aca="false">IFERROR(SUMIF('Start-Class Minutes'!$B$4:$B$153,$A23,'Start-Class Minutes'!$E$4:$E$153)/SUMIF('Start-Class Minutes'!$B$4:$B$153,$A23,'Start-Class Minutes'!$K$4:$K$153),0)</f>
        <v>0.162108980827447</v>
      </c>
      <c r="E23" s="8" t="n">
        <f aca="false">IFERROR(SUMIF('Start-Class Minutes'!$B$4:$B$153,$A23,'Start-Class Minutes'!$F$4:$F$153)/SUMIF('Start-Class Minutes'!$B$4:$B$153,$A23,'Start-Class Minutes'!$K$4:$K$153),0)</f>
        <v>0.0753279515640767</v>
      </c>
      <c r="F23" s="8" t="n">
        <f aca="false">IFERROR(SUMIF('Start-Class Minutes'!$B$4:$B$153,$A23,'Start-Class Minutes'!$G$4:$G$153)/SUMIF('Start-Class Minutes'!$B$4:$B$153,$A23,'Start-Class Minutes'!$K$4:$K$153),0)</f>
        <v>0.0559535822401615</v>
      </c>
      <c r="G23" s="8" t="n">
        <f aca="false">IFERROR(SUMIF('Start-Class Minutes'!$B$4:$B$153,$A23,'Start-Class Minutes'!$H$4:$H$153)/SUMIF('Start-Class Minutes'!$B$4:$B$153,$A23,'Start-Class Minutes'!$K$4:$K$153),0)</f>
        <v>0.0317356205852674</v>
      </c>
      <c r="H23" s="8" t="n">
        <f aca="false">IFERROR(SUMIF('Start-Class Minutes'!$B$4:$B$153,$A23,'Start-Class Minutes'!$I$4:$I$153)/SUMIF('Start-Class Minutes'!$B$4:$B$153,$A23,'Start-Class Minutes'!$K$4:$K$153),0)</f>
        <v>0.0145307769929364</v>
      </c>
      <c r="I23" s="8" t="n">
        <f aca="false">IFERROR(SUMIF('Start-Class Minutes'!$B$4:$B$153,$A23,'Start-Class Minutes'!$J$4:$J$153)/SUMIF('Start-Class Minutes'!$B$4:$B$153,$A23,'Start-Class Minutes'!$K$4:$K$153),0)</f>
        <v>0.0532795156407669</v>
      </c>
    </row>
    <row r="24" customFormat="false" ht="15" hidden="false" customHeight="false" outlineLevel="0" collapsed="false">
      <c r="A24" s="7" t="s">
        <v>68</v>
      </c>
      <c r="B24" s="8" t="n">
        <f aca="false">IFERROR(SUMIF('Start-Class Minutes'!$B$4:$B$153,$A24,'Start-Class Minutes'!$C$4:$C$153)/SUMIF('Start-Class Minutes'!$B$4:$B$153,$A24,'Start-Class Minutes'!$K$4:$K$153),0)</f>
        <v>0.31148699823277</v>
      </c>
      <c r="C24" s="8" t="n">
        <f aca="false">IFERROR(SUMIF('Start-Class Minutes'!$B$4:$B$153,$A24,'Start-Class Minutes'!$D$4:$D$153)/SUMIF('Start-Class Minutes'!$B$4:$B$153,$A24,'Start-Class Minutes'!$K$4:$K$153),0)</f>
        <v>0.296036354455945</v>
      </c>
      <c r="D24" s="8" t="n">
        <f aca="false">IFERROR(SUMIF('Start-Class Minutes'!$B$4:$B$153,$A24,'Start-Class Minutes'!$E$4:$E$153)/SUMIF('Start-Class Minutes'!$B$4:$B$153,$A24,'Start-Class Minutes'!$K$4:$K$153),0)</f>
        <v>0.0778086341832871</v>
      </c>
      <c r="E24" s="8" t="n">
        <f aca="false">IFERROR(SUMIF('Start-Class Minutes'!$B$4:$B$153,$A24,'Start-Class Minutes'!$F$4:$F$153)/SUMIF('Start-Class Minutes'!$B$4:$B$153,$A24,'Start-Class Minutes'!$K$4:$K$153),0)</f>
        <v>0.116334259025499</v>
      </c>
      <c r="F24" s="8" t="n">
        <f aca="false">IFERROR(SUMIF('Start-Class Minutes'!$B$4:$B$153,$A24,'Start-Class Minutes'!$G$4:$G$153)/SUMIF('Start-Class Minutes'!$B$4:$B$153,$A24,'Start-Class Minutes'!$K$4:$K$153),0)</f>
        <v>0.0885130017672305</v>
      </c>
      <c r="G24" s="8" t="n">
        <f aca="false">IFERROR(SUMIF('Start-Class Minutes'!$B$4:$B$153,$A24,'Start-Class Minutes'!$H$4:$H$153)/SUMIF('Start-Class Minutes'!$B$4:$B$153,$A24,'Start-Class Minutes'!$K$4:$K$153),0)</f>
        <v>0.00969452158545822</v>
      </c>
      <c r="H24" s="8" t="n">
        <f aca="false">IFERROR(SUMIF('Start-Class Minutes'!$B$4:$B$153,$A24,'Start-Class Minutes'!$I$4:$I$153)/SUMIF('Start-Class Minutes'!$B$4:$B$153,$A24,'Start-Class Minutes'!$K$4:$K$153),0)</f>
        <v>0.00509972229235042</v>
      </c>
      <c r="I24" s="8" t="n">
        <f aca="false">IFERROR(SUMIF('Start-Class Minutes'!$B$4:$B$153,$A24,'Start-Class Minutes'!$J$4:$J$153)/SUMIF('Start-Class Minutes'!$B$4:$B$153,$A24,'Start-Class Minutes'!$K$4:$K$153),0)</f>
        <v>0.0950265084574602</v>
      </c>
    </row>
    <row r="25" customFormat="false" ht="15" hidden="false" customHeight="false" outlineLevel="0" collapsed="false">
      <c r="A25" s="7" t="s">
        <v>69</v>
      </c>
      <c r="B25" s="8" t="n">
        <f aca="false">IFERROR(SUMIF('Start-Class Minutes'!$B$4:$B$153,$A25,'Start-Class Minutes'!$C$4:$C$153)/SUMIF('Start-Class Minutes'!$B$4:$B$153,$A25,'Start-Class Minutes'!$K$4:$K$153),0)</f>
        <v>0.289787664307381</v>
      </c>
      <c r="C25" s="8" t="n">
        <f aca="false">IFERROR(SUMIF('Start-Class Minutes'!$B$4:$B$153,$A25,'Start-Class Minutes'!$D$4:$D$153)/SUMIF('Start-Class Minutes'!$B$4:$B$153,$A25,'Start-Class Minutes'!$K$4:$K$153),0)</f>
        <v>0.315318503538928</v>
      </c>
      <c r="D25" s="8" t="n">
        <f aca="false">IFERROR(SUMIF('Start-Class Minutes'!$B$4:$B$153,$A25,'Start-Class Minutes'!$E$4:$E$153)/SUMIF('Start-Class Minutes'!$B$4:$B$153,$A25,'Start-Class Minutes'!$K$4:$K$153),0)</f>
        <v>0.0582406471183013</v>
      </c>
      <c r="E25" s="8" t="n">
        <f aca="false">IFERROR(SUMIF('Start-Class Minutes'!$B$4:$B$153,$A25,'Start-Class Minutes'!$F$4:$F$153)/SUMIF('Start-Class Minutes'!$B$4:$B$153,$A25,'Start-Class Minutes'!$K$4:$K$153),0)</f>
        <v>0.107532861476239</v>
      </c>
      <c r="F25" s="8" t="n">
        <f aca="false">IFERROR(SUMIF('Start-Class Minutes'!$B$4:$B$153,$A25,'Start-Class Minutes'!$G$4:$G$153)/SUMIF('Start-Class Minutes'!$B$4:$B$153,$A25,'Start-Class Minutes'!$K$4:$K$153),0)</f>
        <v>0.0660262891809909</v>
      </c>
      <c r="G25" s="8" t="n">
        <f aca="false">IFERROR(SUMIF('Start-Class Minutes'!$B$4:$B$153,$A25,'Start-Class Minutes'!$H$4:$H$153)/SUMIF('Start-Class Minutes'!$B$4:$B$153,$A25,'Start-Class Minutes'!$K$4:$K$153),0)</f>
        <v>0.0582406471183013</v>
      </c>
      <c r="H25" s="8" t="n">
        <f aca="false">IFERROR(SUMIF('Start-Class Minutes'!$B$4:$B$153,$A25,'Start-Class Minutes'!$I$4:$I$153)/SUMIF('Start-Class Minutes'!$B$4:$B$153,$A25,'Start-Class Minutes'!$K$4:$K$153),0)</f>
        <v>0.00995955510616785</v>
      </c>
      <c r="I25" s="8" t="n">
        <f aca="false">IFERROR(SUMIF('Start-Class Minutes'!$B$4:$B$153,$A25,'Start-Class Minutes'!$J$4:$J$153)/SUMIF('Start-Class Minutes'!$B$4:$B$153,$A25,'Start-Class Minutes'!$K$4:$K$153),0)</f>
        <v>0.0948938321536906</v>
      </c>
    </row>
    <row r="26" customFormat="false" ht="15" hidden="false" customHeight="false" outlineLevel="0" collapsed="false">
      <c r="A26" s="7" t="s">
        <v>70</v>
      </c>
      <c r="B26" s="8" t="n">
        <f aca="false">IFERROR(SUMIF('Start-Class Minutes'!$B$4:$B$153,$A26,'Start-Class Minutes'!$C$4:$C$153)/SUMIF('Start-Class Minutes'!$B$4:$B$153,$A26,'Start-Class Minutes'!$K$4:$K$153),0)</f>
        <v>0.333888048411498</v>
      </c>
      <c r="C26" s="8" t="n">
        <f aca="false">IFERROR(SUMIF('Start-Class Minutes'!$B$4:$B$153,$A26,'Start-Class Minutes'!$D$4:$D$153)/SUMIF('Start-Class Minutes'!$B$4:$B$153,$A26,'Start-Class Minutes'!$K$4:$K$153),0)</f>
        <v>0.169944528492184</v>
      </c>
      <c r="D26" s="8" t="n">
        <f aca="false">IFERROR(SUMIF('Start-Class Minutes'!$B$4:$B$153,$A26,'Start-Class Minutes'!$E$4:$E$153)/SUMIF('Start-Class Minutes'!$B$4:$B$153,$A26,'Start-Class Minutes'!$K$4:$K$153),0)</f>
        <v>0.130811901159859</v>
      </c>
      <c r="E26" s="8" t="n">
        <f aca="false">IFERROR(SUMIF('Start-Class Minutes'!$B$4:$B$153,$A26,'Start-Class Minutes'!$F$4:$F$153)/SUMIF('Start-Class Minutes'!$B$4:$B$153,$A26,'Start-Class Minutes'!$K$4:$K$153),0)</f>
        <v>0.0959152798789713</v>
      </c>
      <c r="F26" s="8" t="n">
        <f aca="false">IFERROR(SUMIF('Start-Class Minutes'!$B$4:$B$153,$A26,'Start-Class Minutes'!$G$4:$G$153)/SUMIF('Start-Class Minutes'!$B$4:$B$153,$A26,'Start-Class Minutes'!$K$4:$K$153),0)</f>
        <v>0.091981845688351</v>
      </c>
      <c r="G26" s="8" t="n">
        <f aca="false">IFERROR(SUMIF('Start-Class Minutes'!$B$4:$B$153,$A26,'Start-Class Minutes'!$H$4:$H$153)/SUMIF('Start-Class Minutes'!$B$4:$B$153,$A26,'Start-Class Minutes'!$K$4:$K$153),0)</f>
        <v>0.0605143721633888</v>
      </c>
      <c r="H26" s="8" t="n">
        <f aca="false">IFERROR(SUMIF('Start-Class Minutes'!$B$4:$B$153,$A26,'Start-Class Minutes'!$I$4:$I$153)/SUMIF('Start-Class Minutes'!$B$4:$B$153,$A26,'Start-Class Minutes'!$K$4:$K$153),0)</f>
        <v>0</v>
      </c>
      <c r="I26" s="8" t="n">
        <f aca="false">IFERROR(SUMIF('Start-Class Minutes'!$B$4:$B$153,$A26,'Start-Class Minutes'!$J$4:$J$153)/SUMIF('Start-Class Minutes'!$B$4:$B$153,$A26,'Start-Class Minutes'!$K$4:$K$153),0)</f>
        <v>0.116944024205749</v>
      </c>
    </row>
    <row r="27" customFormat="false" ht="15" hidden="false" customHeight="false" outlineLevel="0" collapsed="false">
      <c r="A27" s="7" t="s">
        <v>71</v>
      </c>
      <c r="B27" s="8" t="n">
        <f aca="false">IFERROR(SUMIF('Start-Class Minutes'!$B$4:$B$153,$A27,'Start-Class Minutes'!$C$4:$C$153)/SUMIF('Start-Class Minutes'!$B$4:$B$153,$A27,'Start-Class Minutes'!$K$4:$K$153),0)</f>
        <v>0.292793931731985</v>
      </c>
      <c r="C27" s="8" t="n">
        <f aca="false">IFERROR(SUMIF('Start-Class Minutes'!$B$4:$B$153,$A27,'Start-Class Minutes'!$D$4:$D$153)/SUMIF('Start-Class Minutes'!$B$4:$B$153,$A27,'Start-Class Minutes'!$K$4:$K$153),0)</f>
        <v>0.360252844500632</v>
      </c>
      <c r="D27" s="8" t="n">
        <f aca="false">IFERROR(SUMIF('Start-Class Minutes'!$B$4:$B$153,$A27,'Start-Class Minutes'!$E$4:$E$153)/SUMIF('Start-Class Minutes'!$B$4:$B$153,$A27,'Start-Class Minutes'!$K$4:$K$153),0)</f>
        <v>0.118280657395702</v>
      </c>
      <c r="E27" s="8" t="n">
        <f aca="false">IFERROR(SUMIF('Start-Class Minutes'!$B$4:$B$153,$A27,'Start-Class Minutes'!$F$4:$F$153)/SUMIF('Start-Class Minutes'!$B$4:$B$153,$A27,'Start-Class Minutes'!$K$4:$K$153),0)</f>
        <v>0.0876359039190898</v>
      </c>
      <c r="F27" s="8" t="n">
        <f aca="false">IFERROR(SUMIF('Start-Class Minutes'!$B$4:$B$153,$A27,'Start-Class Minutes'!$G$4:$G$153)/SUMIF('Start-Class Minutes'!$B$4:$B$153,$A27,'Start-Class Minutes'!$K$4:$K$153),0)</f>
        <v>0.0946649810366625</v>
      </c>
      <c r="G27" s="8" t="n">
        <f aca="false">IFERROR(SUMIF('Start-Class Minutes'!$B$4:$B$153,$A27,'Start-Class Minutes'!$H$4:$H$153)/SUMIF('Start-Class Minutes'!$B$4:$B$153,$A27,'Start-Class Minutes'!$K$4:$K$153),0)</f>
        <v>0.0072819216182048</v>
      </c>
      <c r="H27" s="8" t="n">
        <f aca="false">IFERROR(SUMIF('Start-Class Minutes'!$B$4:$B$153,$A27,'Start-Class Minutes'!$I$4:$I$153)/SUMIF('Start-Class Minutes'!$B$4:$B$153,$A27,'Start-Class Minutes'!$K$4:$K$153),0)</f>
        <v>0</v>
      </c>
      <c r="I27" s="8" t="n">
        <f aca="false">IFERROR(SUMIF('Start-Class Minutes'!$B$4:$B$153,$A27,'Start-Class Minutes'!$J$4:$J$153)/SUMIF('Start-Class Minutes'!$B$4:$B$153,$A27,'Start-Class Minutes'!$K$4:$K$153),0)</f>
        <v>0.0390897597977244</v>
      </c>
    </row>
    <row r="28" customFormat="false" ht="15" hidden="false" customHeight="false" outlineLevel="0" collapsed="false">
      <c r="A28" s="7" t="s">
        <v>72</v>
      </c>
      <c r="B28" s="8" t="n">
        <f aca="false">IFERROR(SUMIF('Start-Class Minutes'!$B$4:$B$153,$A28,'Start-Class Minutes'!$C$4:$C$153)/SUMIF('Start-Class Minutes'!$B$4:$B$153,$A28,'Start-Class Minutes'!$K$4:$K$153),0)</f>
        <v>0.311959544879899</v>
      </c>
      <c r="C28" s="8" t="n">
        <f aca="false">IFERROR(SUMIF('Start-Class Minutes'!$B$4:$B$153,$A28,'Start-Class Minutes'!$D$4:$D$153)/SUMIF('Start-Class Minutes'!$B$4:$B$153,$A28,'Start-Class Minutes'!$K$4:$K$153),0)</f>
        <v>0.273628318584071</v>
      </c>
      <c r="D28" s="8" t="n">
        <f aca="false">IFERROR(SUMIF('Start-Class Minutes'!$B$4:$B$153,$A28,'Start-Class Minutes'!$E$4:$E$153)/SUMIF('Start-Class Minutes'!$B$4:$B$153,$A28,'Start-Class Minutes'!$K$4:$K$153),0)</f>
        <v>0.0461188369152971</v>
      </c>
      <c r="E28" s="8" t="n">
        <f aca="false">IFERROR(SUMIF('Start-Class Minutes'!$B$4:$B$153,$A28,'Start-Class Minutes'!$F$4:$F$153)/SUMIF('Start-Class Minutes'!$B$4:$B$153,$A28,'Start-Class Minutes'!$K$4:$K$153),0)</f>
        <v>0.0951706700379267</v>
      </c>
      <c r="F28" s="8" t="n">
        <f aca="false">IFERROR(SUMIF('Start-Class Minutes'!$B$4:$B$153,$A28,'Start-Class Minutes'!$G$4:$G$153)/SUMIF('Start-Class Minutes'!$B$4:$B$153,$A28,'Start-Class Minutes'!$K$4:$K$153),0)</f>
        <v>0.0733249051833123</v>
      </c>
      <c r="G28" s="8" t="n">
        <f aca="false">IFERROR(SUMIF('Start-Class Minutes'!$B$4:$B$153,$A28,'Start-Class Minutes'!$H$4:$H$153)/SUMIF('Start-Class Minutes'!$B$4:$B$153,$A28,'Start-Class Minutes'!$K$4:$K$153),0)</f>
        <v>0.00753476611883692</v>
      </c>
      <c r="H28" s="8" t="n">
        <f aca="false">IFERROR(SUMIF('Start-Class Minutes'!$B$4:$B$153,$A28,'Start-Class Minutes'!$I$4:$I$153)/SUMIF('Start-Class Minutes'!$B$4:$B$153,$A28,'Start-Class Minutes'!$K$4:$K$153),0)</f>
        <v>0.0218457648546144</v>
      </c>
      <c r="I28" s="8" t="n">
        <f aca="false">IFERROR(SUMIF('Start-Class Minutes'!$B$4:$B$153,$A28,'Start-Class Minutes'!$J$4:$J$153)/SUMIF('Start-Class Minutes'!$B$4:$B$153,$A28,'Start-Class Minutes'!$K$4:$K$153),0)</f>
        <v>0.170417193426043</v>
      </c>
    </row>
    <row r="29" customFormat="false" ht="15" hidden="false" customHeight="false" outlineLevel="0" collapsed="false">
      <c r="A29" s="7" t="s">
        <v>73</v>
      </c>
      <c r="B29" s="8" t="n">
        <f aca="false">IFERROR(SUMIF('Start-Class Minutes'!$B$4:$B$153,$A29,'Start-Class Minutes'!$C$4:$C$153)/SUMIF('Start-Class Minutes'!$B$4:$B$153,$A29,'Start-Class Minutes'!$K$4:$K$153),0)</f>
        <v>0.400353089533417</v>
      </c>
      <c r="C29" s="8" t="n">
        <f aca="false">IFERROR(SUMIF('Start-Class Minutes'!$B$4:$B$153,$A29,'Start-Class Minutes'!$D$4:$D$153)/SUMIF('Start-Class Minutes'!$B$4:$B$153,$A29,'Start-Class Minutes'!$K$4:$K$153),0)</f>
        <v>0.18234552332913</v>
      </c>
      <c r="D29" s="8" t="n">
        <f aca="false">IFERROR(SUMIF('Start-Class Minutes'!$B$4:$B$153,$A29,'Start-Class Minutes'!$E$4:$E$153)/SUMIF('Start-Class Minutes'!$B$4:$B$153,$A29,'Start-Class Minutes'!$K$4:$K$153),0)</f>
        <v>0.195208070617907</v>
      </c>
      <c r="E29" s="8" t="n">
        <f aca="false">IFERROR(SUMIF('Start-Class Minutes'!$B$4:$B$153,$A29,'Start-Class Minutes'!$F$4:$F$153)/SUMIF('Start-Class Minutes'!$B$4:$B$153,$A29,'Start-Class Minutes'!$K$4:$K$153),0)</f>
        <v>0.0612862547288777</v>
      </c>
      <c r="F29" s="8" t="n">
        <f aca="false">IFERROR(SUMIF('Start-Class Minutes'!$B$4:$B$153,$A29,'Start-Class Minutes'!$G$4:$G$153)/SUMIF('Start-Class Minutes'!$B$4:$B$153,$A29,'Start-Class Minutes'!$K$4:$K$153),0)</f>
        <v>0.0801513240857503</v>
      </c>
      <c r="G29" s="8" t="n">
        <f aca="false">IFERROR(SUMIF('Start-Class Minutes'!$B$4:$B$153,$A29,'Start-Class Minutes'!$H$4:$H$153)/SUMIF('Start-Class Minutes'!$B$4:$B$153,$A29,'Start-Class Minutes'!$K$4:$K$153),0)</f>
        <v>0.0363177805800757</v>
      </c>
      <c r="H29" s="8" t="n">
        <f aca="false">IFERROR(SUMIF('Start-Class Minutes'!$B$4:$B$153,$A29,'Start-Class Minutes'!$I$4:$I$153)/SUMIF('Start-Class Minutes'!$B$4:$B$153,$A29,'Start-Class Minutes'!$K$4:$K$153),0)</f>
        <v>0.00484237074401009</v>
      </c>
      <c r="I29" s="8" t="n">
        <f aca="false">IFERROR(SUMIF('Start-Class Minutes'!$B$4:$B$153,$A29,'Start-Class Minutes'!$J$4:$J$153)/SUMIF('Start-Class Minutes'!$B$4:$B$153,$A29,'Start-Class Minutes'!$K$4:$K$153),0)</f>
        <v>0.0394955863808323</v>
      </c>
    </row>
    <row r="30" customFormat="false" ht="15" hidden="false" customHeight="false" outlineLevel="0" collapsed="false">
      <c r="A30" s="7" t="s">
        <v>74</v>
      </c>
      <c r="B30" s="8" t="n">
        <f aca="false">IFERROR(SUMIF('Start-Class Minutes'!$B$4:$B$153,$A30,'Start-Class Minutes'!$C$4:$C$153)/SUMIF('Start-Class Minutes'!$B$4:$B$153,$A30,'Start-Class Minutes'!$K$4:$K$153),0)</f>
        <v>0.363163213744315</v>
      </c>
      <c r="C30" s="8" t="n">
        <f aca="false">IFERROR(SUMIF('Start-Class Minutes'!$B$4:$B$153,$A30,'Start-Class Minutes'!$D$4:$D$153)/SUMIF('Start-Class Minutes'!$B$4:$B$153,$A30,'Start-Class Minutes'!$K$4:$K$153),0)</f>
        <v>0.335725113693785</v>
      </c>
      <c r="D30" s="8" t="n">
        <f aca="false">IFERROR(SUMIF('Start-Class Minutes'!$B$4:$B$153,$A30,'Start-Class Minutes'!$E$4:$E$153)/SUMIF('Start-Class Minutes'!$B$4:$B$153,$A30,'Start-Class Minutes'!$K$4:$K$153),0)</f>
        <v>0.016978271854472</v>
      </c>
      <c r="E30" s="8" t="n">
        <f aca="false">IFERROR(SUMIF('Start-Class Minutes'!$B$4:$B$153,$A30,'Start-Class Minutes'!$F$4:$F$153)/SUMIF('Start-Class Minutes'!$B$4:$B$153,$A30,'Start-Class Minutes'!$K$4:$K$153),0)</f>
        <v>0.139514906518444</v>
      </c>
      <c r="F30" s="8" t="n">
        <f aca="false">IFERROR(SUMIF('Start-Class Minutes'!$B$4:$B$153,$A30,'Start-Class Minutes'!$G$4:$G$153)/SUMIF('Start-Class Minutes'!$B$4:$B$153,$A30,'Start-Class Minutes'!$K$4:$K$153),0)</f>
        <v>0.0436584133400707</v>
      </c>
      <c r="G30" s="8" t="n">
        <f aca="false">IFERROR(SUMIF('Start-Class Minutes'!$B$4:$B$153,$A30,'Start-Class Minutes'!$H$4:$H$153)/SUMIF('Start-Class Minutes'!$B$4:$B$153,$A30,'Start-Class Minutes'!$K$4:$K$153),0)</f>
        <v>0.00485093481556342</v>
      </c>
      <c r="H30" s="8" t="n">
        <f aca="false">IFERROR(SUMIF('Start-Class Minutes'!$B$4:$B$153,$A30,'Start-Class Minutes'!$I$4:$I$153)/SUMIF('Start-Class Minutes'!$B$4:$B$153,$A30,'Start-Class Minutes'!$K$4:$K$153),0)</f>
        <v>0</v>
      </c>
      <c r="I30" s="8" t="n">
        <f aca="false">IFERROR(SUMIF('Start-Class Minutes'!$B$4:$B$153,$A30,'Start-Class Minutes'!$J$4:$J$153)/SUMIF('Start-Class Minutes'!$B$4:$B$153,$A30,'Start-Class Minutes'!$K$4:$K$153),0)</f>
        <v>0.0961091460333502</v>
      </c>
    </row>
    <row r="31" customFormat="false" ht="15" hidden="false" customHeight="false" outlineLevel="0" collapsed="false">
      <c r="A31" s="7" t="s">
        <v>75</v>
      </c>
      <c r="B31" s="8" t="n">
        <f aca="false">IFERROR(SUMIF('Start-Class Minutes'!$B$4:$B$153,$A31,'Start-Class Minutes'!$C$4:$C$153)/SUMIF('Start-Class Minutes'!$B$4:$B$153,$A31,'Start-Class Minutes'!$K$4:$K$153),0)</f>
        <v>0.322614840989399</v>
      </c>
      <c r="C31" s="8" t="n">
        <f aca="false">IFERROR(SUMIF('Start-Class Minutes'!$B$4:$B$153,$A31,'Start-Class Minutes'!$D$4:$D$153)/SUMIF('Start-Class Minutes'!$B$4:$B$153,$A31,'Start-Class Minutes'!$K$4:$K$153),0)</f>
        <v>0.334477536597678</v>
      </c>
      <c r="D31" s="8" t="n">
        <f aca="false">IFERROR(SUMIF('Start-Class Minutes'!$B$4:$B$153,$A31,'Start-Class Minutes'!$E$4:$E$153)/SUMIF('Start-Class Minutes'!$B$4:$B$153,$A31,'Start-Class Minutes'!$K$4:$K$153),0)</f>
        <v>0.0899040888440182</v>
      </c>
      <c r="E31" s="8" t="n">
        <f aca="false">IFERROR(SUMIF('Start-Class Minutes'!$B$4:$B$153,$A31,'Start-Class Minutes'!$F$4:$F$153)/SUMIF('Start-Class Minutes'!$B$4:$B$153,$A31,'Start-Class Minutes'!$K$4:$K$153),0)</f>
        <v>0.0581524482584553</v>
      </c>
      <c r="F31" s="8" t="n">
        <f aca="false">IFERROR(SUMIF('Start-Class Minutes'!$B$4:$B$153,$A31,'Start-Class Minutes'!$G$4:$G$153)/SUMIF('Start-Class Minutes'!$B$4:$B$153,$A31,'Start-Class Minutes'!$K$4:$K$153),0)</f>
        <v>0.0826350328117113</v>
      </c>
      <c r="G31" s="8" t="n">
        <f aca="false">IFERROR(SUMIF('Start-Class Minutes'!$B$4:$B$153,$A31,'Start-Class Minutes'!$H$4:$H$153)/SUMIF('Start-Class Minutes'!$B$4:$B$153,$A31,'Start-Class Minutes'!$K$4:$K$153),0)</f>
        <v>0.0269056032306916</v>
      </c>
      <c r="H31" s="8" t="n">
        <f aca="false">IFERROR(SUMIF('Start-Class Minutes'!$B$4:$B$153,$A31,'Start-Class Minutes'!$I$4:$I$153)/SUMIF('Start-Class Minutes'!$B$4:$B$153,$A31,'Start-Class Minutes'!$K$4:$K$153),0)</f>
        <v>0.00726905603230692</v>
      </c>
      <c r="I31" s="8" t="n">
        <f aca="false">IFERROR(SUMIF('Start-Class Minutes'!$B$4:$B$153,$A31,'Start-Class Minutes'!$J$4:$J$153)/SUMIF('Start-Class Minutes'!$B$4:$B$153,$A31,'Start-Class Minutes'!$K$4:$K$153),0)</f>
        <v>0.0780413932357395</v>
      </c>
    </row>
    <row r="32" customFormat="false" ht="15" hidden="false" customHeight="false" outlineLevel="0" collapsed="false">
      <c r="A32" s="7" t="s">
        <v>76</v>
      </c>
      <c r="B32" s="8" t="n">
        <f aca="false">IFERROR(SUMIF('Start-Class Minutes'!$B$4:$B$153,$A32,'Start-Class Minutes'!$C$4:$C$153)/SUMIF('Start-Class Minutes'!$B$4:$B$153,$A32,'Start-Class Minutes'!$K$4:$K$153),0)</f>
        <v>0.173427633240717</v>
      </c>
      <c r="C32" s="8" t="n">
        <f aca="false">IFERROR(SUMIF('Start-Class Minutes'!$B$4:$B$153,$A32,'Start-Class Minutes'!$D$4:$D$153)/SUMIF('Start-Class Minutes'!$B$4:$B$153,$A32,'Start-Class Minutes'!$K$4:$K$153),0)</f>
        <v>0.19449355897954</v>
      </c>
      <c r="D32" s="8" t="n">
        <f aca="false">IFERROR(SUMIF('Start-Class Minutes'!$B$4:$B$153,$A32,'Start-Class Minutes'!$E$4:$E$153)/SUMIF('Start-Class Minutes'!$B$4:$B$153,$A32,'Start-Class Minutes'!$K$4:$K$153),0)</f>
        <v>0.0632988128315231</v>
      </c>
      <c r="E32" s="8" t="n">
        <f aca="false">IFERROR(SUMIF('Start-Class Minutes'!$B$4:$B$153,$A32,'Start-Class Minutes'!$F$4:$F$153)/SUMIF('Start-Class Minutes'!$B$4:$B$153,$A32,'Start-Class Minutes'!$K$4:$K$153),0)</f>
        <v>0.0880525385198282</v>
      </c>
      <c r="F32" s="8" t="n">
        <f aca="false">IFERROR(SUMIF('Start-Class Minutes'!$B$4:$B$153,$A32,'Start-Class Minutes'!$G$4:$G$153)/SUMIF('Start-Class Minutes'!$B$4:$B$153,$A32,'Start-Class Minutes'!$K$4:$K$153),0)</f>
        <v>0.0710785551907047</v>
      </c>
      <c r="G32" s="8" t="n">
        <f aca="false">IFERROR(SUMIF('Start-Class Minutes'!$B$4:$B$153,$A32,'Start-Class Minutes'!$H$4:$H$153)/SUMIF('Start-Class Minutes'!$B$4:$B$153,$A32,'Start-Class Minutes'!$K$4:$K$153),0)</f>
        <v>0.0732508209143723</v>
      </c>
      <c r="H32" s="8" t="n">
        <f aca="false">IFERROR(SUMIF('Start-Class Minutes'!$B$4:$B$153,$A32,'Start-Class Minutes'!$I$4:$I$153)/SUMIF('Start-Class Minutes'!$B$4:$B$153,$A32,'Start-Class Minutes'!$K$4:$K$153),0)</f>
        <v>0.00242485476130336</v>
      </c>
      <c r="I32" s="8" t="n">
        <f aca="false">IFERROR(SUMIF('Start-Class Minutes'!$B$4:$B$153,$A32,'Start-Class Minutes'!$J$4:$J$153)/SUMIF('Start-Class Minutes'!$B$4:$B$153,$A32,'Start-Class Minutes'!$K$4:$K$153),0)</f>
        <v>0.333973225562011</v>
      </c>
    </row>
    <row r="33" customFormat="false" ht="15" hidden="false" customHeight="false" outlineLevel="0" collapsed="false">
      <c r="A33" s="7" t="s">
        <v>77</v>
      </c>
      <c r="B33" s="8" t="n">
        <f aca="false">IFERROR(SUMIF('Start-Class Minutes'!$B$4:$B$153,$A33,'Start-Class Minutes'!$C$4:$C$153)/SUMIF('Start-Class Minutes'!$B$4:$B$153,$A33,'Start-Class Minutes'!$K$4:$K$153),0)</f>
        <v>0.348127530364373</v>
      </c>
      <c r="C33" s="8" t="n">
        <f aca="false">IFERROR(SUMIF('Start-Class Minutes'!$B$4:$B$153,$A33,'Start-Class Minutes'!$D$4:$D$153)/SUMIF('Start-Class Minutes'!$B$4:$B$153,$A33,'Start-Class Minutes'!$K$4:$K$153),0)</f>
        <v>0.247621457489879</v>
      </c>
      <c r="D33" s="8" t="n">
        <f aca="false">IFERROR(SUMIF('Start-Class Minutes'!$B$4:$B$153,$A33,'Start-Class Minutes'!$E$4:$E$153)/SUMIF('Start-Class Minutes'!$B$4:$B$153,$A33,'Start-Class Minutes'!$K$4:$K$153),0)</f>
        <v>0.0510121457489879</v>
      </c>
      <c r="E33" s="8" t="n">
        <f aca="false">IFERROR(SUMIF('Start-Class Minutes'!$B$4:$B$153,$A33,'Start-Class Minutes'!$F$4:$F$153)/SUMIF('Start-Class Minutes'!$B$4:$B$153,$A33,'Start-Class Minutes'!$K$4:$K$153),0)</f>
        <v>0.124645748987854</v>
      </c>
      <c r="F33" s="8" t="n">
        <f aca="false">IFERROR(SUMIF('Start-Class Minutes'!$B$4:$B$153,$A33,'Start-Class Minutes'!$G$4:$G$153)/SUMIF('Start-Class Minutes'!$B$4:$B$153,$A33,'Start-Class Minutes'!$K$4:$K$153),0)</f>
        <v>0.0901315789473684</v>
      </c>
      <c r="G33" s="8" t="n">
        <f aca="false">IFERROR(SUMIF('Start-Class Minutes'!$B$4:$B$153,$A33,'Start-Class Minutes'!$H$4:$H$153)/SUMIF('Start-Class Minutes'!$B$4:$B$153,$A33,'Start-Class Minutes'!$K$4:$K$153),0)</f>
        <v>0.0194331983805668</v>
      </c>
      <c r="H33" s="8" t="n">
        <f aca="false">IFERROR(SUMIF('Start-Class Minutes'!$B$4:$B$153,$A33,'Start-Class Minutes'!$I$4:$I$153)/SUMIF('Start-Class Minutes'!$B$4:$B$153,$A33,'Start-Class Minutes'!$K$4:$K$153),0)</f>
        <v>0</v>
      </c>
      <c r="I33" s="8" t="n">
        <f aca="false">IFERROR(SUMIF('Start-Class Minutes'!$B$4:$B$153,$A33,'Start-Class Minutes'!$J$4:$J$153)/SUMIF('Start-Class Minutes'!$B$4:$B$153,$A33,'Start-Class Minutes'!$K$4:$K$153),0)</f>
        <v>0.119028340080972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8" min="3" style="0" width="12"/>
  </cols>
  <sheetData>
    <row r="1" customFormat="false" ht="17.35" hidden="false" customHeight="false" outlineLevel="0" collapsed="false">
      <c r="A1" s="1" t="s">
        <v>90</v>
      </c>
    </row>
    <row r="3" customFormat="false" ht="23.85" hidden="false" customHeight="false" outlineLevel="0" collapsed="false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91</v>
      </c>
    </row>
    <row r="4" customFormat="false" ht="15" hidden="false" customHeight="false" outlineLevel="0" collapsed="false">
      <c r="A4" s="7" t="s">
        <v>43</v>
      </c>
      <c r="B4" s="7" t="s">
        <v>44</v>
      </c>
      <c r="C4" s="9" t="n">
        <v>1547.2</v>
      </c>
      <c r="D4" s="9" t="n">
        <v>1787.8</v>
      </c>
      <c r="E4" s="9" t="n">
        <v>178.4</v>
      </c>
      <c r="F4" s="9" t="n">
        <v>427.6</v>
      </c>
      <c r="G4" s="9" t="n">
        <v>0</v>
      </c>
      <c r="H4" s="9" t="n">
        <f aca="false">SUM(C4:G4)</f>
        <v>3941</v>
      </c>
    </row>
    <row r="5" customFormat="false" ht="15" hidden="false" customHeight="false" outlineLevel="0" collapsed="false">
      <c r="A5" s="7" t="s">
        <v>45</v>
      </c>
      <c r="B5" s="7" t="s">
        <v>44</v>
      </c>
      <c r="C5" s="9" t="n">
        <v>1181.7</v>
      </c>
      <c r="D5" s="9" t="n">
        <v>1803.7</v>
      </c>
      <c r="E5" s="9" t="n">
        <v>737.7</v>
      </c>
      <c r="F5" s="9" t="n">
        <v>247.8</v>
      </c>
      <c r="G5" s="9" t="n">
        <v>0</v>
      </c>
      <c r="H5" s="9" t="n">
        <f aca="false">SUM(C5:G5)</f>
        <v>3970.9</v>
      </c>
    </row>
    <row r="6" customFormat="false" ht="15" hidden="false" customHeight="false" outlineLevel="0" collapsed="false">
      <c r="A6" s="7" t="s">
        <v>46</v>
      </c>
      <c r="B6" s="7" t="s">
        <v>44</v>
      </c>
      <c r="C6" s="9" t="n">
        <v>588.6</v>
      </c>
      <c r="D6" s="9" t="n">
        <v>2563.8</v>
      </c>
      <c r="E6" s="9" t="n">
        <v>669.3</v>
      </c>
      <c r="F6" s="9" t="n">
        <v>149.4</v>
      </c>
      <c r="G6" s="9" t="n">
        <v>0</v>
      </c>
      <c r="H6" s="9" t="n">
        <f aca="false">SUM(C6:G6)</f>
        <v>3971.1</v>
      </c>
    </row>
    <row r="7" customFormat="false" ht="15" hidden="false" customHeight="false" outlineLevel="0" collapsed="false">
      <c r="A7" s="7" t="s">
        <v>47</v>
      </c>
      <c r="B7" s="7" t="s">
        <v>44</v>
      </c>
      <c r="C7" s="9" t="n">
        <v>1395.5</v>
      </c>
      <c r="D7" s="9" t="n">
        <v>2178.2</v>
      </c>
      <c r="E7" s="9" t="n">
        <v>281.6</v>
      </c>
      <c r="F7" s="9" t="n">
        <v>100.6</v>
      </c>
      <c r="G7" s="9" t="n">
        <v>0</v>
      </c>
      <c r="H7" s="9" t="n">
        <f aca="false">SUM(C7:G7)</f>
        <v>3955.9</v>
      </c>
    </row>
    <row r="8" customFormat="false" ht="15" hidden="false" customHeight="false" outlineLevel="0" collapsed="false">
      <c r="A8" s="7" t="s">
        <v>48</v>
      </c>
      <c r="B8" s="7" t="s">
        <v>44</v>
      </c>
      <c r="C8" s="9" t="n">
        <v>1035.7</v>
      </c>
      <c r="D8" s="9" t="n">
        <v>1998.6</v>
      </c>
      <c r="E8" s="9" t="n">
        <v>831.3</v>
      </c>
      <c r="F8" s="9" t="n">
        <v>85.3</v>
      </c>
      <c r="G8" s="9" t="n">
        <v>0</v>
      </c>
      <c r="H8" s="9" t="n">
        <f aca="false">SUM(C8:G8)</f>
        <v>3950.9</v>
      </c>
    </row>
    <row r="9" customFormat="false" ht="15" hidden="false" customHeight="false" outlineLevel="0" collapsed="false">
      <c r="A9" s="7" t="s">
        <v>43</v>
      </c>
      <c r="B9" s="7" t="s">
        <v>49</v>
      </c>
      <c r="C9" s="9" t="n">
        <v>1109.2</v>
      </c>
      <c r="D9" s="9" t="n">
        <v>2700.2</v>
      </c>
      <c r="E9" s="9" t="n">
        <v>25.1</v>
      </c>
      <c r="F9" s="9" t="n">
        <v>116.5</v>
      </c>
      <c r="G9" s="9" t="n">
        <v>0</v>
      </c>
      <c r="H9" s="9" t="n">
        <f aca="false">SUM(C9:G9)</f>
        <v>3951</v>
      </c>
    </row>
    <row r="10" customFormat="false" ht="15" hidden="false" customHeight="false" outlineLevel="0" collapsed="false">
      <c r="A10" s="7" t="s">
        <v>45</v>
      </c>
      <c r="B10" s="7" t="s">
        <v>49</v>
      </c>
      <c r="C10" s="9" t="n">
        <v>656.2</v>
      </c>
      <c r="D10" s="9" t="n">
        <v>2497.1</v>
      </c>
      <c r="E10" s="9" t="n">
        <v>485</v>
      </c>
      <c r="F10" s="9" t="n">
        <v>307.7</v>
      </c>
      <c r="G10" s="9" t="n">
        <v>0</v>
      </c>
      <c r="H10" s="9" t="n">
        <f aca="false">SUM(C10:G10)</f>
        <v>3946</v>
      </c>
    </row>
    <row r="11" customFormat="false" ht="15" hidden="false" customHeight="false" outlineLevel="0" collapsed="false">
      <c r="A11" s="7" t="s">
        <v>46</v>
      </c>
      <c r="B11" s="7" t="s">
        <v>49</v>
      </c>
      <c r="C11" s="9" t="n">
        <v>1029.9</v>
      </c>
      <c r="D11" s="9" t="n">
        <v>1636.3</v>
      </c>
      <c r="E11" s="9" t="n">
        <v>1094.9</v>
      </c>
      <c r="F11" s="9" t="n">
        <v>199.9</v>
      </c>
      <c r="G11" s="9" t="n">
        <v>0</v>
      </c>
      <c r="H11" s="9" t="n">
        <f aca="false">SUM(C11:G11)</f>
        <v>3961</v>
      </c>
    </row>
    <row r="12" customFormat="false" ht="15" hidden="false" customHeight="false" outlineLevel="0" collapsed="false">
      <c r="A12" s="7" t="s">
        <v>47</v>
      </c>
      <c r="B12" s="7" t="s">
        <v>49</v>
      </c>
      <c r="C12" s="9" t="n">
        <v>802.4</v>
      </c>
      <c r="D12" s="9" t="n">
        <v>2209.7</v>
      </c>
      <c r="E12" s="9" t="n">
        <v>553.9</v>
      </c>
      <c r="F12" s="9" t="n">
        <v>390</v>
      </c>
      <c r="G12" s="9" t="n">
        <v>0</v>
      </c>
      <c r="H12" s="9" t="n">
        <f aca="false">SUM(C12:G12)</f>
        <v>3956</v>
      </c>
    </row>
    <row r="13" customFormat="false" ht="15" hidden="false" customHeight="false" outlineLevel="0" collapsed="false">
      <c r="A13" s="7" t="s">
        <v>48</v>
      </c>
      <c r="B13" s="7" t="s">
        <v>49</v>
      </c>
      <c r="C13" s="9" t="n">
        <v>182.6</v>
      </c>
      <c r="D13" s="9" t="n">
        <v>1643.7</v>
      </c>
      <c r="E13" s="9" t="n">
        <v>0</v>
      </c>
      <c r="F13" s="9" t="n">
        <v>816.5</v>
      </c>
      <c r="G13" s="9" t="n">
        <v>1308.2</v>
      </c>
      <c r="H13" s="9" t="n">
        <f aca="false">SUM(C13:G13)</f>
        <v>3951</v>
      </c>
    </row>
    <row r="14" customFormat="false" ht="15" hidden="false" customHeight="false" outlineLevel="0" collapsed="false">
      <c r="A14" s="7" t="s">
        <v>43</v>
      </c>
      <c r="B14" s="7" t="s">
        <v>50</v>
      </c>
      <c r="C14" s="9" t="n">
        <v>1609.1</v>
      </c>
      <c r="D14" s="9" t="n">
        <v>1695.5</v>
      </c>
      <c r="E14" s="9" t="n">
        <v>442.8</v>
      </c>
      <c r="F14" s="9" t="n">
        <v>233.6</v>
      </c>
      <c r="G14" s="9" t="n">
        <v>0</v>
      </c>
      <c r="H14" s="9" t="n">
        <f aca="false">SUM(C14:G14)</f>
        <v>3981</v>
      </c>
    </row>
    <row r="15" customFormat="false" ht="15" hidden="false" customHeight="false" outlineLevel="0" collapsed="false">
      <c r="A15" s="7" t="s">
        <v>45</v>
      </c>
      <c r="B15" s="7" t="s">
        <v>50</v>
      </c>
      <c r="C15" s="9" t="n">
        <v>1388.2</v>
      </c>
      <c r="D15" s="9" t="n">
        <v>1969.6</v>
      </c>
      <c r="E15" s="9" t="n">
        <v>432.4</v>
      </c>
      <c r="F15" s="9" t="n">
        <v>205.8</v>
      </c>
      <c r="G15" s="9" t="n">
        <v>0</v>
      </c>
      <c r="H15" s="9" t="n">
        <f aca="false">SUM(C15:G15)</f>
        <v>3996</v>
      </c>
    </row>
    <row r="16" customFormat="false" ht="15" hidden="false" customHeight="false" outlineLevel="0" collapsed="false">
      <c r="A16" s="7" t="s">
        <v>46</v>
      </c>
      <c r="B16" s="7" t="s">
        <v>50</v>
      </c>
      <c r="C16" s="9" t="n">
        <v>1267.4</v>
      </c>
      <c r="D16" s="9" t="n">
        <v>1716.2</v>
      </c>
      <c r="E16" s="9" t="n">
        <v>622.8</v>
      </c>
      <c r="F16" s="9" t="n">
        <v>359.6</v>
      </c>
      <c r="G16" s="9" t="n">
        <v>0</v>
      </c>
      <c r="H16" s="9" t="n">
        <f aca="false">SUM(C16:G16)</f>
        <v>3966</v>
      </c>
    </row>
    <row r="17" customFormat="false" ht="15" hidden="false" customHeight="false" outlineLevel="0" collapsed="false">
      <c r="A17" s="7" t="s">
        <v>47</v>
      </c>
      <c r="B17" s="7" t="s">
        <v>50</v>
      </c>
      <c r="C17" s="9" t="n">
        <v>1058.1</v>
      </c>
      <c r="D17" s="9" t="n">
        <v>1805.6</v>
      </c>
      <c r="E17" s="9" t="n">
        <v>830.4</v>
      </c>
      <c r="F17" s="9" t="n">
        <v>271.9</v>
      </c>
      <c r="G17" s="9" t="n">
        <v>0</v>
      </c>
      <c r="H17" s="9" t="n">
        <f aca="false">SUM(C17:G17)</f>
        <v>3966</v>
      </c>
    </row>
    <row r="18" customFormat="false" ht="15" hidden="false" customHeight="false" outlineLevel="0" collapsed="false">
      <c r="A18" s="7" t="s">
        <v>48</v>
      </c>
      <c r="B18" s="7" t="s">
        <v>50</v>
      </c>
      <c r="C18" s="9" t="n">
        <v>1757.8</v>
      </c>
      <c r="D18" s="9" t="n">
        <v>1839.5</v>
      </c>
      <c r="E18" s="9" t="n">
        <v>199.6</v>
      </c>
      <c r="F18" s="9" t="n">
        <v>149</v>
      </c>
      <c r="G18" s="9" t="n">
        <v>0</v>
      </c>
      <c r="H18" s="9" t="n">
        <f aca="false">SUM(C18:G18)</f>
        <v>3945.9</v>
      </c>
    </row>
    <row r="19" customFormat="false" ht="15" hidden="false" customHeight="false" outlineLevel="0" collapsed="false">
      <c r="A19" s="7" t="s">
        <v>43</v>
      </c>
      <c r="B19" s="7" t="s">
        <v>51</v>
      </c>
      <c r="C19" s="9" t="n">
        <v>1517</v>
      </c>
      <c r="D19" s="9" t="n">
        <v>1925.4</v>
      </c>
      <c r="E19" s="9" t="n">
        <v>373.5</v>
      </c>
      <c r="F19" s="9" t="n">
        <v>160.1</v>
      </c>
      <c r="G19" s="9" t="n">
        <v>0</v>
      </c>
      <c r="H19" s="9" t="n">
        <f aca="false">SUM(C19:G19)</f>
        <v>3976</v>
      </c>
    </row>
    <row r="20" customFormat="false" ht="15" hidden="false" customHeight="false" outlineLevel="0" collapsed="false">
      <c r="A20" s="7" t="s">
        <v>45</v>
      </c>
      <c r="B20" s="7" t="s">
        <v>51</v>
      </c>
      <c r="C20" s="9" t="n">
        <v>462.6</v>
      </c>
      <c r="D20" s="9" t="n">
        <v>2717.6</v>
      </c>
      <c r="E20" s="9" t="n">
        <v>401.8</v>
      </c>
      <c r="F20" s="9" t="n">
        <v>384</v>
      </c>
      <c r="G20" s="9" t="n">
        <v>0</v>
      </c>
      <c r="H20" s="9" t="n">
        <f aca="false">SUM(C20:G20)</f>
        <v>3966</v>
      </c>
    </row>
    <row r="21" customFormat="false" ht="15" hidden="false" customHeight="false" outlineLevel="0" collapsed="false">
      <c r="A21" s="7" t="s">
        <v>46</v>
      </c>
      <c r="B21" s="7" t="s">
        <v>51</v>
      </c>
      <c r="C21" s="9" t="n">
        <v>1518.1</v>
      </c>
      <c r="D21" s="9" t="n">
        <v>2095.4</v>
      </c>
      <c r="E21" s="9" t="n">
        <v>2.4</v>
      </c>
      <c r="F21" s="9" t="n">
        <v>330.1</v>
      </c>
      <c r="G21" s="9" t="n">
        <v>0</v>
      </c>
      <c r="H21" s="9" t="n">
        <f aca="false">SUM(C21:G21)</f>
        <v>3946</v>
      </c>
    </row>
    <row r="22" customFormat="false" ht="15" hidden="false" customHeight="false" outlineLevel="0" collapsed="false">
      <c r="A22" s="7" t="s">
        <v>47</v>
      </c>
      <c r="B22" s="7" t="s">
        <v>51</v>
      </c>
      <c r="C22" s="9" t="n">
        <v>631.3</v>
      </c>
      <c r="D22" s="9" t="n">
        <v>2630.2</v>
      </c>
      <c r="E22" s="9" t="n">
        <v>0</v>
      </c>
      <c r="F22" s="9" t="n">
        <v>689.5</v>
      </c>
      <c r="G22" s="9" t="n">
        <v>0</v>
      </c>
      <c r="H22" s="9" t="n">
        <f aca="false">SUM(C22:G22)</f>
        <v>3951</v>
      </c>
    </row>
    <row r="23" customFormat="false" ht="15" hidden="false" customHeight="false" outlineLevel="0" collapsed="false">
      <c r="A23" s="7" t="s">
        <v>48</v>
      </c>
      <c r="B23" s="7" t="s">
        <v>51</v>
      </c>
      <c r="C23" s="9" t="n">
        <v>1365.7</v>
      </c>
      <c r="D23" s="9" t="n">
        <v>1893</v>
      </c>
      <c r="E23" s="9" t="n">
        <v>509.2</v>
      </c>
      <c r="F23" s="9" t="n">
        <v>183</v>
      </c>
      <c r="G23" s="9" t="n">
        <v>0</v>
      </c>
      <c r="H23" s="9" t="n">
        <f aca="false">SUM(C23:G23)</f>
        <v>3950.9</v>
      </c>
    </row>
    <row r="24" customFormat="false" ht="15" hidden="false" customHeight="false" outlineLevel="0" collapsed="false">
      <c r="A24" s="7" t="s">
        <v>43</v>
      </c>
      <c r="B24" s="7" t="s">
        <v>52</v>
      </c>
      <c r="C24" s="9" t="n">
        <v>1292.9</v>
      </c>
      <c r="D24" s="9" t="n">
        <v>2355.9</v>
      </c>
      <c r="E24" s="9" t="n">
        <v>152.4</v>
      </c>
      <c r="F24" s="9" t="n">
        <v>144.9</v>
      </c>
      <c r="G24" s="9" t="n">
        <v>0</v>
      </c>
      <c r="H24" s="9" t="n">
        <f aca="false">SUM(C24:G24)</f>
        <v>3946.1</v>
      </c>
    </row>
    <row r="25" customFormat="false" ht="15" hidden="false" customHeight="false" outlineLevel="0" collapsed="false">
      <c r="A25" s="7" t="s">
        <v>45</v>
      </c>
      <c r="B25" s="7" t="s">
        <v>52</v>
      </c>
      <c r="C25" s="9" t="n">
        <v>1673</v>
      </c>
      <c r="D25" s="9" t="n">
        <v>1547.5</v>
      </c>
      <c r="E25" s="9" t="n">
        <v>742.5</v>
      </c>
      <c r="F25" s="9" t="n">
        <v>18</v>
      </c>
      <c r="G25" s="9" t="n">
        <v>0</v>
      </c>
      <c r="H25" s="9" t="n">
        <f aca="false">SUM(C25:G25)</f>
        <v>3981</v>
      </c>
    </row>
    <row r="26" customFormat="false" ht="15" hidden="false" customHeight="false" outlineLevel="0" collapsed="false">
      <c r="A26" s="7" t="s">
        <v>46</v>
      </c>
      <c r="B26" s="7" t="s">
        <v>52</v>
      </c>
      <c r="C26" s="9" t="n">
        <v>1160.9</v>
      </c>
      <c r="D26" s="9" t="n">
        <v>2203.7</v>
      </c>
      <c r="E26" s="9" t="n">
        <v>546.4</v>
      </c>
      <c r="F26" s="9" t="n">
        <v>85</v>
      </c>
      <c r="G26" s="9" t="n">
        <v>0</v>
      </c>
      <c r="H26" s="9" t="n">
        <f aca="false">SUM(C26:G26)</f>
        <v>3996</v>
      </c>
    </row>
    <row r="27" customFormat="false" ht="15" hidden="false" customHeight="false" outlineLevel="0" collapsed="false">
      <c r="A27" s="7" t="s">
        <v>47</v>
      </c>
      <c r="B27" s="7" t="s">
        <v>52</v>
      </c>
      <c r="C27" s="9" t="n">
        <v>2389.9</v>
      </c>
      <c r="D27" s="9" t="n">
        <v>1270.3</v>
      </c>
      <c r="E27" s="9" t="n">
        <v>0</v>
      </c>
      <c r="F27" s="9" t="n">
        <v>290.8</v>
      </c>
      <c r="G27" s="9" t="n">
        <v>0</v>
      </c>
      <c r="H27" s="9" t="n">
        <f aca="false">SUM(C27:G27)</f>
        <v>3951</v>
      </c>
    </row>
    <row r="28" customFormat="false" ht="15" hidden="false" customHeight="false" outlineLevel="0" collapsed="false">
      <c r="A28" s="7" t="s">
        <v>48</v>
      </c>
      <c r="B28" s="7" t="s">
        <v>52</v>
      </c>
      <c r="C28" s="9" t="n">
        <v>1731.9</v>
      </c>
      <c r="D28" s="9" t="n">
        <v>1682</v>
      </c>
      <c r="E28" s="9" t="n">
        <v>311.2</v>
      </c>
      <c r="F28" s="9" t="n">
        <v>225.9</v>
      </c>
      <c r="G28" s="9" t="n">
        <v>0</v>
      </c>
      <c r="H28" s="9" t="n">
        <f aca="false">SUM(C28:G28)</f>
        <v>3951</v>
      </c>
    </row>
    <row r="29" customFormat="false" ht="15" hidden="false" customHeight="false" outlineLevel="0" collapsed="false">
      <c r="A29" s="7" t="s">
        <v>43</v>
      </c>
      <c r="B29" s="7" t="s">
        <v>53</v>
      </c>
      <c r="C29" s="9" t="n">
        <v>1516.4</v>
      </c>
      <c r="D29" s="9" t="n">
        <v>1910.3</v>
      </c>
      <c r="E29" s="9" t="n">
        <v>304.8</v>
      </c>
      <c r="F29" s="9" t="n">
        <v>214.5</v>
      </c>
      <c r="G29" s="9" t="n">
        <v>0</v>
      </c>
      <c r="H29" s="9" t="n">
        <f aca="false">SUM(C29:G29)</f>
        <v>3946</v>
      </c>
    </row>
    <row r="30" customFormat="false" ht="15" hidden="false" customHeight="false" outlineLevel="0" collapsed="false">
      <c r="A30" s="7" t="s">
        <v>45</v>
      </c>
      <c r="B30" s="7" t="s">
        <v>53</v>
      </c>
      <c r="C30" s="9" t="n">
        <v>1018.1</v>
      </c>
      <c r="D30" s="9" t="n">
        <v>2383.3</v>
      </c>
      <c r="E30" s="9" t="n">
        <v>397.7</v>
      </c>
      <c r="F30" s="9" t="n">
        <v>176.9</v>
      </c>
      <c r="G30" s="9" t="n">
        <v>0</v>
      </c>
      <c r="H30" s="9" t="n">
        <f aca="false">SUM(C30:G30)</f>
        <v>3976</v>
      </c>
    </row>
    <row r="31" customFormat="false" ht="15" hidden="false" customHeight="false" outlineLevel="0" collapsed="false">
      <c r="A31" s="7" t="s">
        <v>46</v>
      </c>
      <c r="B31" s="7" t="s">
        <v>53</v>
      </c>
      <c r="C31" s="9" t="n">
        <v>867.4</v>
      </c>
      <c r="D31" s="9" t="n">
        <v>2051.1</v>
      </c>
      <c r="E31" s="9" t="n">
        <v>882.1</v>
      </c>
      <c r="F31" s="9" t="n">
        <v>160.4</v>
      </c>
      <c r="G31" s="9" t="n">
        <v>0</v>
      </c>
      <c r="H31" s="9" t="n">
        <f aca="false">SUM(C31:G31)</f>
        <v>3961</v>
      </c>
    </row>
    <row r="32" customFormat="false" ht="15" hidden="false" customHeight="false" outlineLevel="0" collapsed="false">
      <c r="A32" s="7" t="s">
        <v>47</v>
      </c>
      <c r="B32" s="7" t="s">
        <v>53</v>
      </c>
      <c r="C32" s="9" t="n">
        <v>1965.8</v>
      </c>
      <c r="D32" s="9" t="n">
        <v>1434.4</v>
      </c>
      <c r="E32" s="9" t="n">
        <v>243</v>
      </c>
      <c r="F32" s="9" t="n">
        <v>307.8</v>
      </c>
      <c r="G32" s="9" t="n">
        <v>0</v>
      </c>
      <c r="H32" s="9" t="n">
        <f aca="false">SUM(C32:G32)</f>
        <v>3951</v>
      </c>
    </row>
    <row r="33" customFormat="false" ht="15" hidden="false" customHeight="false" outlineLevel="0" collapsed="false">
      <c r="A33" s="7" t="s">
        <v>48</v>
      </c>
      <c r="B33" s="7" t="s">
        <v>53</v>
      </c>
      <c r="C33" s="9" t="n">
        <v>648.7</v>
      </c>
      <c r="D33" s="9" t="n">
        <v>2532.8</v>
      </c>
      <c r="E33" s="9" t="n">
        <v>613.2</v>
      </c>
      <c r="F33" s="9" t="n">
        <v>156.2</v>
      </c>
      <c r="G33" s="9" t="n">
        <v>0</v>
      </c>
      <c r="H33" s="9" t="n">
        <f aca="false">SUM(C33:G33)</f>
        <v>3950.9</v>
      </c>
    </row>
    <row r="34" customFormat="false" ht="15" hidden="false" customHeight="false" outlineLevel="0" collapsed="false">
      <c r="A34" s="7" t="s">
        <v>43</v>
      </c>
      <c r="B34" s="7" t="s">
        <v>54</v>
      </c>
      <c r="C34" s="9" t="n">
        <v>1405.5</v>
      </c>
      <c r="D34" s="9" t="n">
        <v>2308.8</v>
      </c>
      <c r="E34" s="9" t="n">
        <v>13.3</v>
      </c>
      <c r="F34" s="9" t="n">
        <v>223.5</v>
      </c>
      <c r="G34" s="9" t="n">
        <v>0</v>
      </c>
      <c r="H34" s="9" t="n">
        <f aca="false">SUM(C34:G34)</f>
        <v>3951.1</v>
      </c>
    </row>
    <row r="35" customFormat="false" ht="15" hidden="false" customHeight="false" outlineLevel="0" collapsed="false">
      <c r="A35" s="7" t="s">
        <v>45</v>
      </c>
      <c r="B35" s="7" t="s">
        <v>54</v>
      </c>
      <c r="C35" s="9" t="n">
        <v>935.1</v>
      </c>
      <c r="D35" s="9" t="n">
        <v>2372.5</v>
      </c>
      <c r="E35" s="9" t="n">
        <v>479.9</v>
      </c>
      <c r="F35" s="9" t="n">
        <v>198.5</v>
      </c>
      <c r="G35" s="9" t="n">
        <v>0</v>
      </c>
      <c r="H35" s="9" t="n">
        <f aca="false">SUM(C35:G35)</f>
        <v>3986</v>
      </c>
    </row>
    <row r="36" customFormat="false" ht="15" hidden="false" customHeight="false" outlineLevel="0" collapsed="false">
      <c r="A36" s="7" t="s">
        <v>46</v>
      </c>
      <c r="B36" s="7" t="s">
        <v>54</v>
      </c>
      <c r="C36" s="9" t="n">
        <v>1415.1</v>
      </c>
      <c r="D36" s="9" t="n">
        <v>1943.9</v>
      </c>
      <c r="E36" s="9" t="n">
        <v>282.7</v>
      </c>
      <c r="F36" s="9" t="n">
        <v>299.3</v>
      </c>
      <c r="G36" s="9" t="n">
        <v>0</v>
      </c>
      <c r="H36" s="9" t="n">
        <f aca="false">SUM(C36:G36)</f>
        <v>3941</v>
      </c>
    </row>
    <row r="37" customFormat="false" ht="15" hidden="false" customHeight="false" outlineLevel="0" collapsed="false">
      <c r="A37" s="7" t="s">
        <v>47</v>
      </c>
      <c r="B37" s="7" t="s">
        <v>54</v>
      </c>
      <c r="C37" s="9" t="n">
        <v>1757</v>
      </c>
      <c r="D37" s="9" t="n">
        <v>1582.5</v>
      </c>
      <c r="E37" s="9" t="n">
        <v>118.7</v>
      </c>
      <c r="F37" s="9" t="n">
        <v>487.8</v>
      </c>
      <c r="G37" s="9" t="n">
        <v>0</v>
      </c>
      <c r="H37" s="9" t="n">
        <f aca="false">SUM(C37:G37)</f>
        <v>3946</v>
      </c>
    </row>
    <row r="38" customFormat="false" ht="15" hidden="false" customHeight="false" outlineLevel="0" collapsed="false">
      <c r="A38" s="7" t="s">
        <v>48</v>
      </c>
      <c r="B38" s="7" t="s">
        <v>54</v>
      </c>
      <c r="C38" s="9" t="n">
        <v>1453.4</v>
      </c>
      <c r="D38" s="9" t="n">
        <v>2105.6</v>
      </c>
      <c r="E38" s="9" t="n">
        <v>134.9</v>
      </c>
      <c r="F38" s="9" t="n">
        <v>277.2</v>
      </c>
      <c r="G38" s="9" t="n">
        <v>0</v>
      </c>
      <c r="H38" s="9" t="n">
        <f aca="false">SUM(C38:G38)</f>
        <v>3971.1</v>
      </c>
    </row>
    <row r="39" customFormat="false" ht="15" hidden="false" customHeight="false" outlineLevel="0" collapsed="false">
      <c r="A39" s="7" t="s">
        <v>43</v>
      </c>
      <c r="B39" s="7" t="s">
        <v>55</v>
      </c>
      <c r="C39" s="9" t="n">
        <v>492.2</v>
      </c>
      <c r="D39" s="9" t="n">
        <v>1911.8</v>
      </c>
      <c r="E39" s="9" t="n">
        <v>941.4</v>
      </c>
      <c r="F39" s="9" t="n">
        <v>615.6</v>
      </c>
      <c r="G39" s="9" t="n">
        <v>0</v>
      </c>
      <c r="H39" s="9" t="n">
        <f aca="false">SUM(C39:G39)</f>
        <v>3961</v>
      </c>
    </row>
    <row r="40" customFormat="false" ht="15" hidden="false" customHeight="false" outlineLevel="0" collapsed="false">
      <c r="A40" s="7" t="s">
        <v>45</v>
      </c>
      <c r="B40" s="7" t="s">
        <v>55</v>
      </c>
      <c r="C40" s="9" t="n">
        <v>610.7</v>
      </c>
      <c r="D40" s="9" t="n">
        <v>2178.3</v>
      </c>
      <c r="E40" s="9" t="n">
        <v>706</v>
      </c>
      <c r="F40" s="9" t="n">
        <v>456</v>
      </c>
      <c r="G40" s="9" t="n">
        <v>0</v>
      </c>
      <c r="H40" s="9" t="n">
        <f aca="false">SUM(C40:G40)</f>
        <v>3951</v>
      </c>
    </row>
    <row r="41" customFormat="false" ht="15" hidden="false" customHeight="false" outlineLevel="0" collapsed="false">
      <c r="A41" s="7" t="s">
        <v>46</v>
      </c>
      <c r="B41" s="7" t="s">
        <v>55</v>
      </c>
      <c r="C41" s="9" t="n">
        <v>673.8</v>
      </c>
      <c r="D41" s="9" t="n">
        <v>1919.1</v>
      </c>
      <c r="E41" s="9" t="n">
        <v>958.4</v>
      </c>
      <c r="F41" s="9" t="n">
        <v>389.7</v>
      </c>
      <c r="G41" s="9" t="n">
        <v>0</v>
      </c>
      <c r="H41" s="9" t="n">
        <f aca="false">SUM(C41:G41)</f>
        <v>3941</v>
      </c>
    </row>
    <row r="42" customFormat="false" ht="15" hidden="false" customHeight="false" outlineLevel="0" collapsed="false">
      <c r="A42" s="7" t="s">
        <v>47</v>
      </c>
      <c r="B42" s="7" t="s">
        <v>55</v>
      </c>
      <c r="C42" s="9" t="n">
        <v>872.9</v>
      </c>
      <c r="D42" s="9" t="n">
        <v>2460.3</v>
      </c>
      <c r="E42" s="9" t="n">
        <v>425.9</v>
      </c>
      <c r="F42" s="9" t="n">
        <v>212</v>
      </c>
      <c r="G42" s="9" t="n">
        <v>0</v>
      </c>
      <c r="H42" s="9" t="n">
        <f aca="false">SUM(C42:G42)</f>
        <v>3971.1</v>
      </c>
    </row>
    <row r="43" customFormat="false" ht="15" hidden="false" customHeight="false" outlineLevel="0" collapsed="false">
      <c r="A43" s="7" t="s">
        <v>48</v>
      </c>
      <c r="B43" s="7" t="s">
        <v>55</v>
      </c>
      <c r="C43" s="9" t="n">
        <v>1350.7</v>
      </c>
      <c r="D43" s="9" t="n">
        <v>1892.7</v>
      </c>
      <c r="E43" s="9" t="n">
        <v>404.6</v>
      </c>
      <c r="F43" s="9" t="n">
        <v>338</v>
      </c>
      <c r="G43" s="9" t="n">
        <v>0</v>
      </c>
      <c r="H43" s="9" t="n">
        <f aca="false">SUM(C43:G43)</f>
        <v>3986</v>
      </c>
    </row>
    <row r="44" customFormat="false" ht="15" hidden="false" customHeight="false" outlineLevel="0" collapsed="false">
      <c r="A44" s="7" t="s">
        <v>43</v>
      </c>
      <c r="B44" s="7" t="s">
        <v>56</v>
      </c>
      <c r="C44" s="9" t="n">
        <v>941.6</v>
      </c>
      <c r="D44" s="9" t="n">
        <v>2235.8</v>
      </c>
      <c r="E44" s="9" t="n">
        <v>569.3</v>
      </c>
      <c r="F44" s="9" t="n">
        <v>209.4</v>
      </c>
      <c r="G44" s="9" t="n">
        <v>0</v>
      </c>
      <c r="H44" s="9" t="n">
        <f aca="false">SUM(C44:G44)</f>
        <v>3956.1</v>
      </c>
    </row>
    <row r="45" customFormat="false" ht="15" hidden="false" customHeight="false" outlineLevel="0" collapsed="false">
      <c r="A45" s="7" t="s">
        <v>45</v>
      </c>
      <c r="B45" s="7" t="s">
        <v>56</v>
      </c>
      <c r="C45" s="9" t="n">
        <v>1702.4</v>
      </c>
      <c r="D45" s="9" t="n">
        <v>1916.3</v>
      </c>
      <c r="E45" s="9" t="n">
        <v>115</v>
      </c>
      <c r="F45" s="9" t="n">
        <v>227.4</v>
      </c>
      <c r="G45" s="9" t="n">
        <v>0</v>
      </c>
      <c r="H45" s="9" t="n">
        <f aca="false">SUM(C45:G45)</f>
        <v>3961.1</v>
      </c>
    </row>
    <row r="46" customFormat="false" ht="15" hidden="false" customHeight="false" outlineLevel="0" collapsed="false">
      <c r="A46" s="7" t="s">
        <v>46</v>
      </c>
      <c r="B46" s="7" t="s">
        <v>56</v>
      </c>
      <c r="C46" s="9" t="n">
        <v>701</v>
      </c>
      <c r="D46" s="9" t="n">
        <v>2421.7</v>
      </c>
      <c r="E46" s="9" t="n">
        <v>485</v>
      </c>
      <c r="F46" s="9" t="n">
        <v>343.3</v>
      </c>
      <c r="G46" s="9" t="n">
        <v>0</v>
      </c>
      <c r="H46" s="9" t="n">
        <f aca="false">SUM(C46:G46)</f>
        <v>3951</v>
      </c>
    </row>
    <row r="47" customFormat="false" ht="15" hidden="false" customHeight="false" outlineLevel="0" collapsed="false">
      <c r="A47" s="7" t="s">
        <v>47</v>
      </c>
      <c r="B47" s="7" t="s">
        <v>56</v>
      </c>
      <c r="C47" s="9" t="n">
        <v>1315.3</v>
      </c>
      <c r="D47" s="9" t="n">
        <v>1500.6</v>
      </c>
      <c r="E47" s="9" t="n">
        <v>767</v>
      </c>
      <c r="F47" s="9" t="n">
        <v>378.1</v>
      </c>
      <c r="G47" s="9" t="n">
        <v>0</v>
      </c>
      <c r="H47" s="9" t="n">
        <f aca="false">SUM(C47:G47)</f>
        <v>3961</v>
      </c>
    </row>
    <row r="48" customFormat="false" ht="15" hidden="false" customHeight="false" outlineLevel="0" collapsed="false">
      <c r="A48" s="7" t="s">
        <v>48</v>
      </c>
      <c r="B48" s="7" t="s">
        <v>56</v>
      </c>
      <c r="C48" s="9" t="n">
        <v>1228.9</v>
      </c>
      <c r="D48" s="9" t="n">
        <v>1659.9</v>
      </c>
      <c r="E48" s="9" t="n">
        <v>536.4</v>
      </c>
      <c r="F48" s="9" t="n">
        <v>535.9</v>
      </c>
      <c r="G48" s="9" t="n">
        <v>0</v>
      </c>
      <c r="H48" s="9" t="n">
        <f aca="false">SUM(C48:G48)</f>
        <v>3961.1</v>
      </c>
    </row>
    <row r="49" customFormat="false" ht="15" hidden="false" customHeight="false" outlineLevel="0" collapsed="false">
      <c r="A49" s="7" t="s">
        <v>43</v>
      </c>
      <c r="B49" s="7" t="s">
        <v>57</v>
      </c>
      <c r="C49" s="9" t="n">
        <v>1936.8</v>
      </c>
      <c r="D49" s="9" t="n">
        <v>1379.9</v>
      </c>
      <c r="E49" s="9" t="n">
        <v>449</v>
      </c>
      <c r="F49" s="9" t="n">
        <v>180.3</v>
      </c>
      <c r="G49" s="9" t="n">
        <v>0</v>
      </c>
      <c r="H49" s="9" t="n">
        <f aca="false">SUM(C49:G49)</f>
        <v>3946</v>
      </c>
    </row>
    <row r="50" customFormat="false" ht="15" hidden="false" customHeight="false" outlineLevel="0" collapsed="false">
      <c r="A50" s="7" t="s">
        <v>45</v>
      </c>
      <c r="B50" s="7" t="s">
        <v>57</v>
      </c>
      <c r="C50" s="9" t="n">
        <v>812.1</v>
      </c>
      <c r="D50" s="9" t="n">
        <v>2422.9</v>
      </c>
      <c r="E50" s="9" t="n">
        <v>330.6</v>
      </c>
      <c r="F50" s="9" t="n">
        <v>400.3</v>
      </c>
      <c r="G50" s="9" t="n">
        <v>0</v>
      </c>
      <c r="H50" s="9" t="n">
        <f aca="false">SUM(C50:G50)</f>
        <v>3965.9</v>
      </c>
    </row>
    <row r="51" customFormat="false" ht="15" hidden="false" customHeight="false" outlineLevel="0" collapsed="false">
      <c r="A51" s="7" t="s">
        <v>46</v>
      </c>
      <c r="B51" s="7" t="s">
        <v>57</v>
      </c>
      <c r="C51" s="9" t="n">
        <v>1561.1</v>
      </c>
      <c r="D51" s="9" t="n">
        <v>2074.5</v>
      </c>
      <c r="E51" s="9" t="n">
        <v>157.4</v>
      </c>
      <c r="F51" s="9" t="n">
        <v>173</v>
      </c>
      <c r="G51" s="9" t="n">
        <v>0</v>
      </c>
      <c r="H51" s="9" t="n">
        <f aca="false">SUM(C51:G51)</f>
        <v>3966</v>
      </c>
    </row>
    <row r="52" customFormat="false" ht="15" hidden="false" customHeight="false" outlineLevel="0" collapsed="false">
      <c r="A52" s="7" t="s">
        <v>47</v>
      </c>
      <c r="B52" s="7" t="s">
        <v>57</v>
      </c>
      <c r="C52" s="9" t="n">
        <v>1274.6</v>
      </c>
      <c r="D52" s="9" t="n">
        <v>2135.3</v>
      </c>
      <c r="E52" s="9" t="n">
        <v>0</v>
      </c>
      <c r="F52" s="9" t="n">
        <v>536.2</v>
      </c>
      <c r="G52" s="9" t="n">
        <v>0</v>
      </c>
      <c r="H52" s="9" t="n">
        <f aca="false">SUM(C52:G52)</f>
        <v>3946.1</v>
      </c>
    </row>
    <row r="53" customFormat="false" ht="15" hidden="false" customHeight="false" outlineLevel="0" collapsed="false">
      <c r="A53" s="7" t="s">
        <v>48</v>
      </c>
      <c r="B53" s="7" t="s">
        <v>57</v>
      </c>
      <c r="C53" s="9" t="n">
        <v>1504.7</v>
      </c>
      <c r="D53" s="9" t="n">
        <v>1717.2</v>
      </c>
      <c r="E53" s="9" t="n">
        <v>0</v>
      </c>
      <c r="F53" s="9" t="n">
        <v>739.1</v>
      </c>
      <c r="G53" s="9" t="n">
        <v>0</v>
      </c>
      <c r="H53" s="9" t="n">
        <f aca="false">SUM(C53:G53)</f>
        <v>3961</v>
      </c>
    </row>
    <row r="54" customFormat="false" ht="15" hidden="false" customHeight="false" outlineLevel="0" collapsed="false">
      <c r="A54" s="7" t="s">
        <v>43</v>
      </c>
      <c r="B54" s="7" t="s">
        <v>58</v>
      </c>
      <c r="C54" s="9" t="n">
        <v>1073.3</v>
      </c>
      <c r="D54" s="9" t="n">
        <v>2012.2</v>
      </c>
      <c r="E54" s="9" t="n">
        <v>351.8</v>
      </c>
      <c r="F54" s="9" t="n">
        <v>513.7</v>
      </c>
      <c r="G54" s="9" t="n">
        <v>0</v>
      </c>
      <c r="H54" s="9" t="n">
        <f aca="false">SUM(C54:G54)</f>
        <v>3951</v>
      </c>
    </row>
    <row r="55" customFormat="false" ht="15" hidden="false" customHeight="false" outlineLevel="0" collapsed="false">
      <c r="A55" s="7" t="s">
        <v>45</v>
      </c>
      <c r="B55" s="7" t="s">
        <v>58</v>
      </c>
      <c r="C55" s="9" t="n">
        <v>721.9</v>
      </c>
      <c r="D55" s="9" t="n">
        <v>2010.9</v>
      </c>
      <c r="E55" s="9" t="n">
        <v>1070.8</v>
      </c>
      <c r="F55" s="9" t="n">
        <v>147.4</v>
      </c>
      <c r="G55" s="9" t="n">
        <v>0</v>
      </c>
      <c r="H55" s="9" t="n">
        <f aca="false">SUM(C55:G55)</f>
        <v>3951</v>
      </c>
    </row>
    <row r="56" customFormat="false" ht="15" hidden="false" customHeight="false" outlineLevel="0" collapsed="false">
      <c r="A56" s="7" t="s">
        <v>46</v>
      </c>
      <c r="B56" s="7" t="s">
        <v>58</v>
      </c>
      <c r="C56" s="9" t="n">
        <v>877.3</v>
      </c>
      <c r="D56" s="9" t="n">
        <v>2054.2</v>
      </c>
      <c r="E56" s="9" t="n">
        <v>754</v>
      </c>
      <c r="F56" s="9" t="n">
        <v>156.1</v>
      </c>
      <c r="G56" s="9" t="n">
        <v>129.4</v>
      </c>
      <c r="H56" s="9" t="n">
        <f aca="false">SUM(C56:G56)</f>
        <v>3971</v>
      </c>
    </row>
    <row r="57" customFormat="false" ht="15" hidden="false" customHeight="false" outlineLevel="0" collapsed="false">
      <c r="A57" s="7" t="s">
        <v>47</v>
      </c>
      <c r="B57" s="7" t="s">
        <v>58</v>
      </c>
      <c r="C57" s="9" t="n">
        <v>529.5</v>
      </c>
      <c r="D57" s="9" t="n">
        <v>2153.1</v>
      </c>
      <c r="E57" s="9" t="n">
        <v>1056.9</v>
      </c>
      <c r="F57" s="9" t="n">
        <v>216.5</v>
      </c>
      <c r="G57" s="9" t="n">
        <v>0</v>
      </c>
      <c r="H57" s="9" t="n">
        <f aca="false">SUM(C57:G57)</f>
        <v>3956</v>
      </c>
    </row>
    <row r="58" customFormat="false" ht="15" hidden="false" customHeight="false" outlineLevel="0" collapsed="false">
      <c r="A58" s="7" t="s">
        <v>48</v>
      </c>
      <c r="B58" s="7" t="s">
        <v>58</v>
      </c>
      <c r="C58" s="9" t="n">
        <v>1457.5</v>
      </c>
      <c r="D58" s="9" t="n">
        <v>2341.7</v>
      </c>
      <c r="E58" s="9" t="n">
        <v>0</v>
      </c>
      <c r="F58" s="9" t="n">
        <v>181.8</v>
      </c>
      <c r="G58" s="9" t="n">
        <v>0</v>
      </c>
      <c r="H58" s="9" t="n">
        <f aca="false">SUM(C58:G58)</f>
        <v>3981</v>
      </c>
    </row>
    <row r="59" customFormat="false" ht="15" hidden="false" customHeight="false" outlineLevel="0" collapsed="false">
      <c r="A59" s="7" t="s">
        <v>43</v>
      </c>
      <c r="B59" s="7" t="s">
        <v>59</v>
      </c>
      <c r="C59" s="9" t="n">
        <v>961.6</v>
      </c>
      <c r="D59" s="9" t="n">
        <v>2676.9</v>
      </c>
      <c r="E59" s="9" t="n">
        <v>49.3</v>
      </c>
      <c r="F59" s="9" t="n">
        <v>288.2</v>
      </c>
      <c r="G59" s="9" t="n">
        <v>0</v>
      </c>
      <c r="H59" s="9" t="n">
        <f aca="false">SUM(C59:G59)</f>
        <v>3976</v>
      </c>
    </row>
    <row r="60" customFormat="false" ht="15" hidden="false" customHeight="false" outlineLevel="0" collapsed="false">
      <c r="A60" s="7" t="s">
        <v>45</v>
      </c>
      <c r="B60" s="7" t="s">
        <v>59</v>
      </c>
      <c r="C60" s="9" t="n">
        <v>802.5</v>
      </c>
      <c r="D60" s="9" t="n">
        <v>2426.6</v>
      </c>
      <c r="E60" s="9" t="n">
        <v>415.5</v>
      </c>
      <c r="F60" s="9" t="n">
        <v>306.4</v>
      </c>
      <c r="G60" s="9" t="n">
        <v>0</v>
      </c>
      <c r="H60" s="9" t="n">
        <f aca="false">SUM(C60:G60)</f>
        <v>3951</v>
      </c>
    </row>
    <row r="61" customFormat="false" ht="15" hidden="false" customHeight="false" outlineLevel="0" collapsed="false">
      <c r="A61" s="7" t="s">
        <v>46</v>
      </c>
      <c r="B61" s="7" t="s">
        <v>59</v>
      </c>
      <c r="C61" s="9" t="n">
        <v>1352.9</v>
      </c>
      <c r="D61" s="9" t="n">
        <v>1667</v>
      </c>
      <c r="E61" s="9" t="n">
        <v>459.6</v>
      </c>
      <c r="F61" s="9" t="n">
        <v>461.4</v>
      </c>
      <c r="G61" s="9" t="n">
        <v>0</v>
      </c>
      <c r="H61" s="9" t="n">
        <f aca="false">SUM(C61:G61)</f>
        <v>3940.9</v>
      </c>
    </row>
    <row r="62" customFormat="false" ht="15" hidden="false" customHeight="false" outlineLevel="0" collapsed="false">
      <c r="A62" s="7" t="s">
        <v>47</v>
      </c>
      <c r="B62" s="7" t="s">
        <v>59</v>
      </c>
      <c r="C62" s="9" t="n">
        <v>1509.8</v>
      </c>
      <c r="D62" s="9" t="n">
        <v>1373.1</v>
      </c>
      <c r="E62" s="9" t="n">
        <v>889.9</v>
      </c>
      <c r="F62" s="9" t="n">
        <v>198.2</v>
      </c>
      <c r="G62" s="9" t="n">
        <v>0</v>
      </c>
      <c r="H62" s="9" t="n">
        <f aca="false">SUM(C62:G62)</f>
        <v>3971</v>
      </c>
    </row>
    <row r="63" customFormat="false" ht="15" hidden="false" customHeight="false" outlineLevel="0" collapsed="false">
      <c r="A63" s="7" t="s">
        <v>48</v>
      </c>
      <c r="B63" s="7" t="s">
        <v>59</v>
      </c>
      <c r="C63" s="9" t="n">
        <v>1411.9</v>
      </c>
      <c r="D63" s="9" t="n">
        <v>1693.5</v>
      </c>
      <c r="E63" s="9" t="n">
        <v>4</v>
      </c>
      <c r="F63" s="9" t="n">
        <v>841.7</v>
      </c>
      <c r="G63" s="9" t="n">
        <v>0</v>
      </c>
      <c r="H63" s="9" t="n">
        <f aca="false">SUM(C63:G63)</f>
        <v>3951.1</v>
      </c>
    </row>
    <row r="64" customFormat="false" ht="15" hidden="false" customHeight="false" outlineLevel="0" collapsed="false">
      <c r="A64" s="7" t="s">
        <v>43</v>
      </c>
      <c r="B64" s="7" t="s">
        <v>60</v>
      </c>
      <c r="C64" s="9" t="n">
        <v>1109.5</v>
      </c>
      <c r="D64" s="9" t="n">
        <v>2001.5</v>
      </c>
      <c r="E64" s="9" t="n">
        <v>86.3</v>
      </c>
      <c r="F64" s="9" t="n">
        <v>758.7</v>
      </c>
      <c r="G64" s="9" t="n">
        <v>0</v>
      </c>
      <c r="H64" s="9" t="n">
        <f aca="false">SUM(C64:G64)</f>
        <v>3956</v>
      </c>
    </row>
    <row r="65" customFormat="false" ht="15" hidden="false" customHeight="false" outlineLevel="0" collapsed="false">
      <c r="A65" s="7" t="s">
        <v>45</v>
      </c>
      <c r="B65" s="7" t="s">
        <v>60</v>
      </c>
      <c r="C65" s="9" t="n">
        <v>1478</v>
      </c>
      <c r="D65" s="9" t="n">
        <v>1752</v>
      </c>
      <c r="E65" s="9" t="n">
        <v>275.6</v>
      </c>
      <c r="F65" s="9" t="n">
        <v>460.4</v>
      </c>
      <c r="G65" s="9" t="n">
        <v>0</v>
      </c>
      <c r="H65" s="9" t="n">
        <f aca="false">SUM(C65:G65)</f>
        <v>3966</v>
      </c>
    </row>
    <row r="66" customFormat="false" ht="15" hidden="false" customHeight="false" outlineLevel="0" collapsed="false">
      <c r="A66" s="7" t="s">
        <v>46</v>
      </c>
      <c r="B66" s="7" t="s">
        <v>60</v>
      </c>
      <c r="C66" s="9" t="n">
        <v>786.3</v>
      </c>
      <c r="D66" s="9" t="n">
        <v>2305.4</v>
      </c>
      <c r="E66" s="9" t="n">
        <v>592.7</v>
      </c>
      <c r="F66" s="9" t="n">
        <v>256.6</v>
      </c>
      <c r="G66" s="9" t="n">
        <v>0</v>
      </c>
      <c r="H66" s="9" t="n">
        <f aca="false">SUM(C66:G66)</f>
        <v>3941</v>
      </c>
    </row>
    <row r="67" customFormat="false" ht="15" hidden="false" customHeight="false" outlineLevel="0" collapsed="false">
      <c r="A67" s="7" t="s">
        <v>47</v>
      </c>
      <c r="B67" s="7" t="s">
        <v>60</v>
      </c>
      <c r="C67" s="9" t="n">
        <v>1207.8</v>
      </c>
      <c r="D67" s="9" t="n">
        <v>1561.1</v>
      </c>
      <c r="E67" s="9" t="n">
        <v>872.6</v>
      </c>
      <c r="F67" s="9" t="n">
        <v>319.5</v>
      </c>
      <c r="G67" s="9" t="n">
        <v>0</v>
      </c>
      <c r="H67" s="9" t="n">
        <f aca="false">SUM(C67:G67)</f>
        <v>3961</v>
      </c>
    </row>
    <row r="68" customFormat="false" ht="15" hidden="false" customHeight="false" outlineLevel="0" collapsed="false">
      <c r="A68" s="7" t="s">
        <v>48</v>
      </c>
      <c r="B68" s="7" t="s">
        <v>60</v>
      </c>
      <c r="C68" s="9" t="n">
        <v>1235.7</v>
      </c>
      <c r="D68" s="9" t="n">
        <v>1941.2</v>
      </c>
      <c r="E68" s="9" t="n">
        <v>487.4</v>
      </c>
      <c r="F68" s="9" t="n">
        <v>291.7</v>
      </c>
      <c r="G68" s="9" t="n">
        <v>0</v>
      </c>
      <c r="H68" s="9" t="n">
        <f aca="false">SUM(C68:G68)</f>
        <v>3956</v>
      </c>
    </row>
    <row r="69" customFormat="false" ht="15" hidden="false" customHeight="false" outlineLevel="0" collapsed="false">
      <c r="A69" s="7" t="s">
        <v>43</v>
      </c>
      <c r="B69" s="7" t="s">
        <v>61</v>
      </c>
      <c r="C69" s="9" t="n">
        <v>1901.7</v>
      </c>
      <c r="D69" s="9" t="n">
        <v>1668.3</v>
      </c>
      <c r="E69" s="9" t="n">
        <v>0</v>
      </c>
      <c r="F69" s="9" t="n">
        <v>426</v>
      </c>
      <c r="G69" s="9" t="n">
        <v>0</v>
      </c>
      <c r="H69" s="9" t="n">
        <f aca="false">SUM(C69:G69)</f>
        <v>3996</v>
      </c>
    </row>
    <row r="70" customFormat="false" ht="15" hidden="false" customHeight="false" outlineLevel="0" collapsed="false">
      <c r="A70" s="7" t="s">
        <v>45</v>
      </c>
      <c r="B70" s="7" t="s">
        <v>61</v>
      </c>
      <c r="C70" s="9" t="n">
        <v>1650.1</v>
      </c>
      <c r="D70" s="9" t="n">
        <v>2020</v>
      </c>
      <c r="E70" s="9" t="n">
        <v>152.5</v>
      </c>
      <c r="F70" s="9" t="n">
        <v>153.4</v>
      </c>
      <c r="G70" s="9" t="n">
        <v>0</v>
      </c>
      <c r="H70" s="9" t="n">
        <f aca="false">SUM(C70:G70)</f>
        <v>3976</v>
      </c>
    </row>
    <row r="71" customFormat="false" ht="15" hidden="false" customHeight="false" outlineLevel="0" collapsed="false">
      <c r="A71" s="7" t="s">
        <v>46</v>
      </c>
      <c r="B71" s="7" t="s">
        <v>61</v>
      </c>
      <c r="C71" s="9" t="n">
        <v>1589.6</v>
      </c>
      <c r="D71" s="9" t="n">
        <v>2015.9</v>
      </c>
      <c r="E71" s="9" t="n">
        <v>243.2</v>
      </c>
      <c r="F71" s="9" t="n">
        <v>123.5</v>
      </c>
      <c r="G71" s="9" t="n">
        <v>0</v>
      </c>
      <c r="H71" s="9" t="n">
        <f aca="false">SUM(C71:G71)</f>
        <v>3972.2</v>
      </c>
    </row>
    <row r="72" customFormat="false" ht="15" hidden="false" customHeight="false" outlineLevel="0" collapsed="false">
      <c r="A72" s="7" t="s">
        <v>47</v>
      </c>
      <c r="B72" s="7" t="s">
        <v>61</v>
      </c>
      <c r="C72" s="9" t="n">
        <v>1844.7</v>
      </c>
      <c r="D72" s="9" t="n">
        <v>1785.8</v>
      </c>
      <c r="E72" s="9" t="n">
        <v>100</v>
      </c>
      <c r="F72" s="9" t="n">
        <v>215.6</v>
      </c>
      <c r="G72" s="9" t="n">
        <v>0</v>
      </c>
      <c r="H72" s="9" t="n">
        <f aca="false">SUM(C72:G72)</f>
        <v>3946.1</v>
      </c>
    </row>
    <row r="73" customFormat="false" ht="15" hidden="false" customHeight="false" outlineLevel="0" collapsed="false">
      <c r="A73" s="7" t="s">
        <v>48</v>
      </c>
      <c r="B73" s="7" t="s">
        <v>61</v>
      </c>
      <c r="C73" s="9" t="n">
        <v>835.8</v>
      </c>
      <c r="D73" s="9" t="n">
        <v>2372.6</v>
      </c>
      <c r="E73" s="9" t="n">
        <v>509.9</v>
      </c>
      <c r="F73" s="9" t="n">
        <v>222.6</v>
      </c>
      <c r="G73" s="9" t="n">
        <v>0</v>
      </c>
      <c r="H73" s="9" t="n">
        <f aca="false">SUM(C73:G73)</f>
        <v>3940.9</v>
      </c>
    </row>
    <row r="74" customFormat="false" ht="15" hidden="false" customHeight="false" outlineLevel="0" collapsed="false">
      <c r="A74" s="7" t="s">
        <v>43</v>
      </c>
      <c r="B74" s="7" t="s">
        <v>62</v>
      </c>
      <c r="C74" s="9" t="n">
        <v>2031.9</v>
      </c>
      <c r="D74" s="9" t="n">
        <v>1407.9</v>
      </c>
      <c r="E74" s="9" t="n">
        <v>109.3</v>
      </c>
      <c r="F74" s="9" t="n">
        <v>406.9</v>
      </c>
      <c r="G74" s="9" t="n">
        <v>0</v>
      </c>
      <c r="H74" s="9" t="n">
        <f aca="false">SUM(C74:G74)</f>
        <v>3956</v>
      </c>
    </row>
    <row r="75" customFormat="false" ht="15" hidden="false" customHeight="false" outlineLevel="0" collapsed="false">
      <c r="A75" s="7" t="s">
        <v>45</v>
      </c>
      <c r="B75" s="7" t="s">
        <v>62</v>
      </c>
      <c r="C75" s="9" t="n">
        <v>1621.5</v>
      </c>
      <c r="D75" s="9" t="n">
        <v>1879.9</v>
      </c>
      <c r="E75" s="9" t="n">
        <v>128.4</v>
      </c>
      <c r="F75" s="9" t="n">
        <v>326.2</v>
      </c>
      <c r="G75" s="9" t="n">
        <v>0</v>
      </c>
      <c r="H75" s="9" t="n">
        <f aca="false">SUM(C75:G75)</f>
        <v>3956</v>
      </c>
    </row>
    <row r="76" customFormat="false" ht="15" hidden="false" customHeight="false" outlineLevel="0" collapsed="false">
      <c r="A76" s="7" t="s">
        <v>46</v>
      </c>
      <c r="B76" s="7" t="s">
        <v>62</v>
      </c>
      <c r="C76" s="9" t="n">
        <v>1178.1</v>
      </c>
      <c r="D76" s="9" t="n">
        <v>1476</v>
      </c>
      <c r="E76" s="9" t="n">
        <v>52.1</v>
      </c>
      <c r="F76" s="9" t="n">
        <v>1251</v>
      </c>
      <c r="G76" s="9" t="n">
        <v>0</v>
      </c>
      <c r="H76" s="9" t="n">
        <f aca="false">SUM(C76:G76)</f>
        <v>3957.2</v>
      </c>
    </row>
    <row r="77" customFormat="false" ht="15" hidden="false" customHeight="false" outlineLevel="0" collapsed="false">
      <c r="A77" s="7" t="s">
        <v>47</v>
      </c>
      <c r="B77" s="7" t="s">
        <v>62</v>
      </c>
      <c r="C77" s="9" t="n">
        <v>1962.3</v>
      </c>
      <c r="D77" s="9" t="n">
        <v>1532.2</v>
      </c>
      <c r="E77" s="9" t="n">
        <v>221.7</v>
      </c>
      <c r="F77" s="9" t="n">
        <v>224.7</v>
      </c>
      <c r="G77" s="9" t="n">
        <v>0</v>
      </c>
      <c r="H77" s="9" t="n">
        <f aca="false">SUM(C77:G77)</f>
        <v>3940.9</v>
      </c>
    </row>
    <row r="78" customFormat="false" ht="15" hidden="false" customHeight="false" outlineLevel="0" collapsed="false">
      <c r="A78" s="7" t="s">
        <v>48</v>
      </c>
      <c r="B78" s="7" t="s">
        <v>62</v>
      </c>
      <c r="C78" s="9" t="n">
        <v>1111.3</v>
      </c>
      <c r="D78" s="9" t="n">
        <v>2197.5</v>
      </c>
      <c r="E78" s="9" t="n">
        <v>4.5</v>
      </c>
      <c r="F78" s="9" t="n">
        <v>632.7</v>
      </c>
      <c r="G78" s="9" t="n">
        <v>0</v>
      </c>
      <c r="H78" s="9" t="n">
        <f aca="false">SUM(C78:G78)</f>
        <v>3946</v>
      </c>
    </row>
    <row r="79" customFormat="false" ht="15" hidden="false" customHeight="false" outlineLevel="0" collapsed="false">
      <c r="A79" s="7" t="s">
        <v>43</v>
      </c>
      <c r="B79" s="7" t="s">
        <v>63</v>
      </c>
      <c r="C79" s="9" t="n">
        <v>1758.2</v>
      </c>
      <c r="D79" s="9" t="n">
        <v>1732</v>
      </c>
      <c r="E79" s="9" t="n">
        <v>0</v>
      </c>
      <c r="F79" s="9" t="n">
        <v>480.8</v>
      </c>
      <c r="G79" s="9" t="n">
        <v>0</v>
      </c>
      <c r="H79" s="9" t="n">
        <f aca="false">SUM(C79:G79)</f>
        <v>3971</v>
      </c>
    </row>
    <row r="80" customFormat="false" ht="15" hidden="false" customHeight="false" outlineLevel="0" collapsed="false">
      <c r="A80" s="7" t="s">
        <v>45</v>
      </c>
      <c r="B80" s="7" t="s">
        <v>63</v>
      </c>
      <c r="C80" s="9" t="n">
        <v>958.7</v>
      </c>
      <c r="D80" s="9" t="n">
        <v>2593.3</v>
      </c>
      <c r="E80" s="9" t="n">
        <v>304.5</v>
      </c>
      <c r="F80" s="9" t="n">
        <v>104.4</v>
      </c>
      <c r="G80" s="9" t="n">
        <v>0</v>
      </c>
      <c r="H80" s="9" t="n">
        <f aca="false">SUM(C80:G80)</f>
        <v>3960.9</v>
      </c>
    </row>
    <row r="81" customFormat="false" ht="15" hidden="false" customHeight="false" outlineLevel="0" collapsed="false">
      <c r="A81" s="7" t="s">
        <v>46</v>
      </c>
      <c r="B81" s="7" t="s">
        <v>63</v>
      </c>
      <c r="C81" s="9" t="n">
        <v>1659.8</v>
      </c>
      <c r="D81" s="9" t="n">
        <v>2021.6</v>
      </c>
      <c r="E81" s="9" t="n">
        <v>0</v>
      </c>
      <c r="F81" s="9" t="n">
        <v>269.6</v>
      </c>
      <c r="G81" s="9" t="n">
        <v>0</v>
      </c>
      <c r="H81" s="9" t="n">
        <f aca="false">SUM(C81:G81)</f>
        <v>3951</v>
      </c>
    </row>
    <row r="82" customFormat="false" ht="15" hidden="false" customHeight="false" outlineLevel="0" collapsed="false">
      <c r="A82" s="7" t="s">
        <v>47</v>
      </c>
      <c r="B82" s="7" t="s">
        <v>63</v>
      </c>
      <c r="C82" s="9" t="n">
        <v>870.5</v>
      </c>
      <c r="D82" s="9" t="n">
        <v>2616.7</v>
      </c>
      <c r="E82" s="9" t="n">
        <v>0</v>
      </c>
      <c r="F82" s="9" t="n">
        <v>498.8</v>
      </c>
      <c r="G82" s="9" t="n">
        <v>0</v>
      </c>
      <c r="H82" s="9" t="n">
        <f aca="false">SUM(C82:G82)</f>
        <v>3986</v>
      </c>
    </row>
    <row r="83" customFormat="false" ht="15" hidden="false" customHeight="false" outlineLevel="0" collapsed="false">
      <c r="A83" s="7" t="s">
        <v>48</v>
      </c>
      <c r="B83" s="7" t="s">
        <v>63</v>
      </c>
      <c r="C83" s="9" t="n">
        <v>936.5</v>
      </c>
      <c r="D83" s="9" t="n">
        <v>2336.9</v>
      </c>
      <c r="E83" s="9" t="n">
        <v>459.7</v>
      </c>
      <c r="F83" s="9" t="n">
        <v>207.9</v>
      </c>
      <c r="G83" s="9" t="n">
        <v>0</v>
      </c>
      <c r="H83" s="9" t="n">
        <f aca="false">SUM(C83:G83)</f>
        <v>3941</v>
      </c>
    </row>
    <row r="84" customFormat="false" ht="15" hidden="false" customHeight="false" outlineLevel="0" collapsed="false">
      <c r="A84" s="7" t="s">
        <v>43</v>
      </c>
      <c r="B84" s="7" t="s">
        <v>64</v>
      </c>
      <c r="C84" s="9" t="n">
        <v>939.4</v>
      </c>
      <c r="D84" s="9" t="n">
        <v>2357.8</v>
      </c>
      <c r="E84" s="9" t="n">
        <v>363.4</v>
      </c>
      <c r="F84" s="9" t="n">
        <v>290.4</v>
      </c>
      <c r="G84" s="9" t="n">
        <v>0</v>
      </c>
      <c r="H84" s="9" t="n">
        <f aca="false">SUM(C84:G84)</f>
        <v>3951</v>
      </c>
    </row>
    <row r="85" customFormat="false" ht="15" hidden="false" customHeight="false" outlineLevel="0" collapsed="false">
      <c r="A85" s="7" t="s">
        <v>45</v>
      </c>
      <c r="B85" s="7" t="s">
        <v>64</v>
      </c>
      <c r="C85" s="9" t="n">
        <v>1277.9</v>
      </c>
      <c r="D85" s="9" t="n">
        <v>2292.6</v>
      </c>
      <c r="E85" s="9" t="n">
        <v>0</v>
      </c>
      <c r="F85" s="9" t="n">
        <v>395.5</v>
      </c>
      <c r="G85" s="9" t="n">
        <v>0</v>
      </c>
      <c r="H85" s="9" t="n">
        <f aca="false">SUM(C85:G85)</f>
        <v>3966</v>
      </c>
    </row>
    <row r="86" customFormat="false" ht="15" hidden="false" customHeight="false" outlineLevel="0" collapsed="false">
      <c r="A86" s="7" t="s">
        <v>46</v>
      </c>
      <c r="B86" s="7" t="s">
        <v>64</v>
      </c>
      <c r="C86" s="9" t="n">
        <v>1260.4</v>
      </c>
      <c r="D86" s="9" t="n">
        <v>1893.8</v>
      </c>
      <c r="E86" s="9" t="n">
        <v>598.6</v>
      </c>
      <c r="F86" s="9" t="n">
        <v>208.2</v>
      </c>
      <c r="G86" s="9" t="n">
        <v>0</v>
      </c>
      <c r="H86" s="9" t="n">
        <f aca="false">SUM(C86:G86)</f>
        <v>3961</v>
      </c>
    </row>
    <row r="87" customFormat="false" ht="15" hidden="false" customHeight="false" outlineLevel="0" collapsed="false">
      <c r="A87" s="7" t="s">
        <v>47</v>
      </c>
      <c r="B87" s="7" t="s">
        <v>64</v>
      </c>
      <c r="C87" s="9" t="n">
        <v>965</v>
      </c>
      <c r="D87" s="9" t="n">
        <v>2535.1</v>
      </c>
      <c r="E87" s="9" t="n">
        <v>204.9</v>
      </c>
      <c r="F87" s="9" t="n">
        <v>246</v>
      </c>
      <c r="G87" s="9" t="n">
        <v>0</v>
      </c>
      <c r="H87" s="9" t="n">
        <f aca="false">SUM(C87:G87)</f>
        <v>3951</v>
      </c>
    </row>
    <row r="88" customFormat="false" ht="15" hidden="false" customHeight="false" outlineLevel="0" collapsed="false">
      <c r="A88" s="7" t="s">
        <v>48</v>
      </c>
      <c r="B88" s="7" t="s">
        <v>64</v>
      </c>
      <c r="C88" s="9" t="n">
        <v>638.5</v>
      </c>
      <c r="D88" s="9" t="n">
        <v>2611.6</v>
      </c>
      <c r="E88" s="9" t="n">
        <v>523.5</v>
      </c>
      <c r="F88" s="9" t="n">
        <v>177.5</v>
      </c>
      <c r="G88" s="9" t="n">
        <v>0</v>
      </c>
      <c r="H88" s="9" t="n">
        <f aca="false">SUM(C88:G88)</f>
        <v>3951.1</v>
      </c>
    </row>
    <row r="89" customFormat="false" ht="15" hidden="false" customHeight="false" outlineLevel="0" collapsed="false">
      <c r="A89" s="7" t="s">
        <v>43</v>
      </c>
      <c r="B89" s="7" t="s">
        <v>65</v>
      </c>
      <c r="C89" s="9" t="n">
        <v>1298.8</v>
      </c>
      <c r="D89" s="9" t="n">
        <v>1843.8</v>
      </c>
      <c r="E89" s="9" t="n">
        <v>438.9</v>
      </c>
      <c r="F89" s="9" t="n">
        <v>374.5</v>
      </c>
      <c r="G89" s="9" t="n">
        <v>0</v>
      </c>
      <c r="H89" s="9" t="n">
        <f aca="false">SUM(C89:G89)</f>
        <v>3956</v>
      </c>
    </row>
    <row r="90" customFormat="false" ht="15" hidden="false" customHeight="false" outlineLevel="0" collapsed="false">
      <c r="A90" s="7" t="s">
        <v>45</v>
      </c>
      <c r="B90" s="7" t="s">
        <v>65</v>
      </c>
      <c r="C90" s="9" t="n">
        <v>1093</v>
      </c>
      <c r="D90" s="9" t="n">
        <v>1791.6</v>
      </c>
      <c r="E90" s="9" t="n">
        <v>965.6</v>
      </c>
      <c r="F90" s="9" t="n">
        <v>115.9</v>
      </c>
      <c r="G90" s="9" t="n">
        <v>0</v>
      </c>
      <c r="H90" s="9" t="n">
        <f aca="false">SUM(C90:G90)</f>
        <v>3966.1</v>
      </c>
    </row>
    <row r="91" customFormat="false" ht="15" hidden="false" customHeight="false" outlineLevel="0" collapsed="false">
      <c r="A91" s="7" t="s">
        <v>46</v>
      </c>
      <c r="B91" s="7" t="s">
        <v>65</v>
      </c>
      <c r="C91" s="9" t="n">
        <v>1622.7</v>
      </c>
      <c r="D91" s="9" t="n">
        <v>1566.7</v>
      </c>
      <c r="E91" s="9" t="n">
        <v>640.8</v>
      </c>
      <c r="F91" s="9" t="n">
        <v>130.7</v>
      </c>
      <c r="G91" s="9" t="n">
        <v>0</v>
      </c>
      <c r="H91" s="9" t="n">
        <f aca="false">SUM(C91:G91)</f>
        <v>3960.9</v>
      </c>
    </row>
    <row r="92" customFormat="false" ht="15" hidden="false" customHeight="false" outlineLevel="0" collapsed="false">
      <c r="A92" s="7" t="s">
        <v>47</v>
      </c>
      <c r="B92" s="7" t="s">
        <v>65</v>
      </c>
      <c r="C92" s="9" t="n">
        <v>1313.6</v>
      </c>
      <c r="D92" s="9" t="n">
        <v>1782.9</v>
      </c>
      <c r="E92" s="9" t="n">
        <v>713.7</v>
      </c>
      <c r="F92" s="9" t="n">
        <v>155.8</v>
      </c>
      <c r="G92" s="9" t="n">
        <v>0</v>
      </c>
      <c r="H92" s="9" t="n">
        <f aca="false">SUM(C92:G92)</f>
        <v>3966</v>
      </c>
    </row>
    <row r="93" customFormat="false" ht="15" hidden="false" customHeight="false" outlineLevel="0" collapsed="false">
      <c r="A93" s="7" t="s">
        <v>48</v>
      </c>
      <c r="B93" s="7" t="s">
        <v>65</v>
      </c>
      <c r="C93" s="9" t="n">
        <v>1331.7</v>
      </c>
      <c r="D93" s="9" t="n">
        <v>1698</v>
      </c>
      <c r="E93" s="9" t="n">
        <v>709.7</v>
      </c>
      <c r="F93" s="9" t="n">
        <v>216.7</v>
      </c>
      <c r="G93" s="9" t="n">
        <v>0</v>
      </c>
      <c r="H93" s="9" t="n">
        <f aca="false">SUM(C93:G93)</f>
        <v>3956.1</v>
      </c>
    </row>
    <row r="94" customFormat="false" ht="15" hidden="false" customHeight="false" outlineLevel="0" collapsed="false">
      <c r="A94" s="7" t="s">
        <v>43</v>
      </c>
      <c r="B94" s="7" t="s">
        <v>66</v>
      </c>
      <c r="C94" s="9" t="n">
        <v>434.8</v>
      </c>
      <c r="D94" s="9" t="n">
        <v>2800.8</v>
      </c>
      <c r="E94" s="9" t="n">
        <v>404.6</v>
      </c>
      <c r="F94" s="9" t="n">
        <v>310.8</v>
      </c>
      <c r="G94" s="9" t="n">
        <v>0</v>
      </c>
      <c r="H94" s="9" t="n">
        <f aca="false">SUM(C94:G94)</f>
        <v>3951</v>
      </c>
    </row>
    <row r="95" customFormat="false" ht="15" hidden="false" customHeight="false" outlineLevel="0" collapsed="false">
      <c r="A95" s="7" t="s">
        <v>45</v>
      </c>
      <c r="B95" s="7" t="s">
        <v>66</v>
      </c>
      <c r="C95" s="9" t="n">
        <v>1631.5</v>
      </c>
      <c r="D95" s="9" t="n">
        <v>1557.6</v>
      </c>
      <c r="E95" s="9" t="n">
        <v>553</v>
      </c>
      <c r="F95" s="9" t="n">
        <v>228.8</v>
      </c>
      <c r="G95" s="9" t="n">
        <v>0</v>
      </c>
      <c r="H95" s="9" t="n">
        <f aca="false">SUM(C95:G95)</f>
        <v>3970.9</v>
      </c>
    </row>
    <row r="96" customFormat="false" ht="15" hidden="false" customHeight="false" outlineLevel="0" collapsed="false">
      <c r="A96" s="7" t="s">
        <v>46</v>
      </c>
      <c r="B96" s="7" t="s">
        <v>66</v>
      </c>
      <c r="C96" s="9" t="n">
        <v>1316.4</v>
      </c>
      <c r="D96" s="9" t="n">
        <v>1996.3</v>
      </c>
      <c r="E96" s="9" t="n">
        <v>423.6</v>
      </c>
      <c r="F96" s="9" t="n">
        <v>204.7</v>
      </c>
      <c r="G96" s="9" t="n">
        <v>0</v>
      </c>
      <c r="H96" s="9" t="n">
        <f aca="false">SUM(C96:G96)</f>
        <v>3941</v>
      </c>
    </row>
    <row r="97" customFormat="false" ht="15" hidden="false" customHeight="false" outlineLevel="0" collapsed="false">
      <c r="A97" s="7" t="s">
        <v>47</v>
      </c>
      <c r="B97" s="7" t="s">
        <v>66</v>
      </c>
      <c r="C97" s="9" t="n">
        <v>411.6</v>
      </c>
      <c r="D97" s="9" t="n">
        <v>2569.4</v>
      </c>
      <c r="E97" s="9" t="n">
        <v>253.1</v>
      </c>
      <c r="F97" s="9" t="n">
        <v>716.8</v>
      </c>
      <c r="G97" s="9" t="n">
        <v>0</v>
      </c>
      <c r="H97" s="9" t="n">
        <f aca="false">SUM(C97:G97)</f>
        <v>3950.9</v>
      </c>
    </row>
    <row r="98" customFormat="false" ht="15" hidden="false" customHeight="false" outlineLevel="0" collapsed="false">
      <c r="A98" s="7" t="s">
        <v>48</v>
      </c>
      <c r="B98" s="7" t="s">
        <v>66</v>
      </c>
      <c r="C98" s="9" t="n">
        <v>776.1</v>
      </c>
      <c r="D98" s="9" t="n">
        <v>2679.7</v>
      </c>
      <c r="E98" s="9" t="n">
        <v>426.1</v>
      </c>
      <c r="F98" s="9" t="n">
        <v>79.1</v>
      </c>
      <c r="G98" s="9" t="n">
        <v>0</v>
      </c>
      <c r="H98" s="9" t="n">
        <f aca="false">SUM(C98:G98)</f>
        <v>3961</v>
      </c>
    </row>
    <row r="99" customFormat="false" ht="15" hidden="false" customHeight="false" outlineLevel="0" collapsed="false">
      <c r="A99" s="7" t="s">
        <v>43</v>
      </c>
      <c r="B99" s="7" t="s">
        <v>67</v>
      </c>
      <c r="C99" s="9" t="n">
        <v>874.2</v>
      </c>
      <c r="D99" s="9" t="n">
        <v>2591</v>
      </c>
      <c r="E99" s="9" t="n">
        <v>0</v>
      </c>
      <c r="F99" s="9" t="n">
        <v>490.8</v>
      </c>
      <c r="G99" s="9" t="n">
        <v>0</v>
      </c>
      <c r="H99" s="9" t="n">
        <f aca="false">SUM(C99:G99)</f>
        <v>3956</v>
      </c>
    </row>
    <row r="100" customFormat="false" ht="15" hidden="false" customHeight="false" outlineLevel="0" collapsed="false">
      <c r="A100" s="7" t="s">
        <v>45</v>
      </c>
      <c r="B100" s="7" t="s">
        <v>67</v>
      </c>
      <c r="C100" s="9" t="n">
        <v>1263.3</v>
      </c>
      <c r="D100" s="9" t="n">
        <v>2002.1</v>
      </c>
      <c r="E100" s="9" t="n">
        <v>526.3</v>
      </c>
      <c r="F100" s="9" t="n">
        <v>199.3</v>
      </c>
      <c r="G100" s="9" t="n">
        <v>0</v>
      </c>
      <c r="H100" s="9" t="n">
        <f aca="false">SUM(C100:G100)</f>
        <v>3991</v>
      </c>
    </row>
    <row r="101" customFormat="false" ht="15" hidden="false" customHeight="false" outlineLevel="0" collapsed="false">
      <c r="A101" s="7" t="s">
        <v>46</v>
      </c>
      <c r="B101" s="7" t="s">
        <v>67</v>
      </c>
      <c r="C101" s="9" t="n">
        <v>1244.3</v>
      </c>
      <c r="D101" s="9" t="n">
        <v>2184.4</v>
      </c>
      <c r="E101" s="9" t="n">
        <v>319.2</v>
      </c>
      <c r="F101" s="9" t="n">
        <v>198.1</v>
      </c>
      <c r="G101" s="9" t="n">
        <v>0</v>
      </c>
      <c r="H101" s="9" t="n">
        <f aca="false">SUM(C101:G101)</f>
        <v>3946</v>
      </c>
    </row>
    <row r="102" customFormat="false" ht="15" hidden="false" customHeight="false" outlineLevel="0" collapsed="false">
      <c r="A102" s="7" t="s">
        <v>47</v>
      </c>
      <c r="B102" s="7" t="s">
        <v>67</v>
      </c>
      <c r="C102" s="9" t="n">
        <v>1236.7</v>
      </c>
      <c r="D102" s="9" t="n">
        <v>1623.3</v>
      </c>
      <c r="E102" s="9" t="n">
        <v>939.9</v>
      </c>
      <c r="F102" s="9" t="n">
        <v>176.1</v>
      </c>
      <c r="G102" s="9" t="n">
        <v>0</v>
      </c>
      <c r="H102" s="9" t="n">
        <f aca="false">SUM(C102:G102)</f>
        <v>3976</v>
      </c>
    </row>
    <row r="103" customFormat="false" ht="15" hidden="false" customHeight="false" outlineLevel="0" collapsed="false">
      <c r="A103" s="7" t="s">
        <v>48</v>
      </c>
      <c r="B103" s="7" t="s">
        <v>67</v>
      </c>
      <c r="C103" s="9" t="n">
        <v>1478.6</v>
      </c>
      <c r="D103" s="9" t="n">
        <v>1721.5</v>
      </c>
      <c r="E103" s="9" t="n">
        <v>540.6</v>
      </c>
      <c r="F103" s="9" t="n">
        <v>210.3</v>
      </c>
      <c r="G103" s="9" t="n">
        <v>0</v>
      </c>
      <c r="H103" s="9" t="n">
        <f aca="false">SUM(C103:G103)</f>
        <v>3951</v>
      </c>
    </row>
    <row r="104" customFormat="false" ht="15" hidden="false" customHeight="false" outlineLevel="0" collapsed="false">
      <c r="A104" s="7" t="s">
        <v>43</v>
      </c>
      <c r="B104" s="7" t="s">
        <v>68</v>
      </c>
      <c r="C104" s="9" t="n">
        <v>481</v>
      </c>
      <c r="D104" s="9" t="n">
        <v>2767.8</v>
      </c>
      <c r="E104" s="9" t="n">
        <v>420.1</v>
      </c>
      <c r="F104" s="9" t="n">
        <v>292</v>
      </c>
      <c r="G104" s="9" t="n">
        <v>0</v>
      </c>
      <c r="H104" s="9" t="n">
        <f aca="false">SUM(C104:G104)</f>
        <v>3960.9</v>
      </c>
    </row>
    <row r="105" customFormat="false" ht="15" hidden="false" customHeight="false" outlineLevel="0" collapsed="false">
      <c r="A105" s="7" t="s">
        <v>45</v>
      </c>
      <c r="B105" s="7" t="s">
        <v>68</v>
      </c>
      <c r="C105" s="9" t="n">
        <v>906.3</v>
      </c>
      <c r="D105" s="9" t="n">
        <v>2875.2</v>
      </c>
      <c r="E105" s="9" t="n">
        <v>0</v>
      </c>
      <c r="F105" s="9" t="n">
        <v>189.5</v>
      </c>
      <c r="G105" s="9" t="n">
        <v>0</v>
      </c>
      <c r="H105" s="9" t="n">
        <f aca="false">SUM(C105:G105)</f>
        <v>3971</v>
      </c>
    </row>
    <row r="106" customFormat="false" ht="15" hidden="false" customHeight="false" outlineLevel="0" collapsed="false">
      <c r="A106" s="7" t="s">
        <v>46</v>
      </c>
      <c r="B106" s="7" t="s">
        <v>68</v>
      </c>
      <c r="C106" s="9" t="n">
        <v>1233.3</v>
      </c>
      <c r="D106" s="9" t="n">
        <v>1709.7</v>
      </c>
      <c r="E106" s="9" t="n">
        <v>799.3</v>
      </c>
      <c r="F106" s="9" t="n">
        <v>218.7</v>
      </c>
      <c r="G106" s="9" t="n">
        <v>0</v>
      </c>
      <c r="H106" s="9" t="n">
        <f aca="false">SUM(C106:G106)</f>
        <v>3961</v>
      </c>
    </row>
    <row r="107" customFormat="false" ht="15" hidden="false" customHeight="false" outlineLevel="0" collapsed="false">
      <c r="A107" s="7" t="s">
        <v>47</v>
      </c>
      <c r="B107" s="7" t="s">
        <v>68</v>
      </c>
      <c r="C107" s="9" t="n">
        <v>2141.1</v>
      </c>
      <c r="D107" s="9" t="n">
        <v>1588.8</v>
      </c>
      <c r="E107" s="9" t="n">
        <v>13.5</v>
      </c>
      <c r="F107" s="9" t="n">
        <v>197.7</v>
      </c>
      <c r="G107" s="9" t="n">
        <v>0</v>
      </c>
      <c r="H107" s="9" t="n">
        <f aca="false">SUM(C107:G107)</f>
        <v>3941.1</v>
      </c>
    </row>
    <row r="108" customFormat="false" ht="15" hidden="false" customHeight="false" outlineLevel="0" collapsed="false">
      <c r="A108" s="7" t="s">
        <v>48</v>
      </c>
      <c r="B108" s="7" t="s">
        <v>68</v>
      </c>
      <c r="C108" s="9" t="n">
        <v>1950.6</v>
      </c>
      <c r="D108" s="9" t="n">
        <v>1226.3</v>
      </c>
      <c r="E108" s="9" t="n">
        <v>454.3</v>
      </c>
      <c r="F108" s="9" t="n">
        <v>339.9</v>
      </c>
      <c r="G108" s="9" t="n">
        <v>0</v>
      </c>
      <c r="H108" s="9" t="n">
        <f aca="false">SUM(C108:G108)</f>
        <v>3971.1</v>
      </c>
    </row>
    <row r="109" customFormat="false" ht="15" hidden="false" customHeight="false" outlineLevel="0" collapsed="false">
      <c r="A109" s="7" t="s">
        <v>43</v>
      </c>
      <c r="B109" s="7" t="s">
        <v>69</v>
      </c>
      <c r="C109" s="9" t="n">
        <v>1449.1</v>
      </c>
      <c r="D109" s="9" t="n">
        <v>1622</v>
      </c>
      <c r="E109" s="9" t="n">
        <v>423.7</v>
      </c>
      <c r="F109" s="9" t="n">
        <v>461.2</v>
      </c>
      <c r="G109" s="9" t="n">
        <v>0</v>
      </c>
      <c r="H109" s="9" t="n">
        <f aca="false">SUM(C109:G109)</f>
        <v>3956</v>
      </c>
    </row>
    <row r="110" customFormat="false" ht="15" hidden="false" customHeight="false" outlineLevel="0" collapsed="false">
      <c r="A110" s="7" t="s">
        <v>45</v>
      </c>
      <c r="B110" s="7" t="s">
        <v>69</v>
      </c>
      <c r="C110" s="9" t="n">
        <v>795.1</v>
      </c>
      <c r="D110" s="9" t="n">
        <v>2240.8</v>
      </c>
      <c r="E110" s="9" t="n">
        <v>570.4</v>
      </c>
      <c r="F110" s="9" t="n">
        <v>349.7</v>
      </c>
      <c r="G110" s="9" t="n">
        <v>0</v>
      </c>
      <c r="H110" s="9" t="n">
        <f aca="false">SUM(C110:G110)</f>
        <v>3956</v>
      </c>
    </row>
    <row r="111" customFormat="false" ht="15" hidden="false" customHeight="false" outlineLevel="0" collapsed="false">
      <c r="A111" s="7" t="s">
        <v>46</v>
      </c>
      <c r="B111" s="7" t="s">
        <v>69</v>
      </c>
      <c r="C111" s="9" t="n">
        <v>1148.8</v>
      </c>
      <c r="D111" s="9" t="n">
        <v>2279.1</v>
      </c>
      <c r="E111" s="9" t="n">
        <v>0</v>
      </c>
      <c r="F111" s="9" t="n">
        <v>528.1</v>
      </c>
      <c r="G111" s="9" t="n">
        <v>0</v>
      </c>
      <c r="H111" s="9" t="n">
        <f aca="false">SUM(C111:G111)</f>
        <v>3956</v>
      </c>
    </row>
    <row r="112" customFormat="false" ht="15" hidden="false" customHeight="false" outlineLevel="0" collapsed="false">
      <c r="A112" s="7" t="s">
        <v>47</v>
      </c>
      <c r="B112" s="7" t="s">
        <v>69</v>
      </c>
      <c r="C112" s="9" t="n">
        <v>1455.3</v>
      </c>
      <c r="D112" s="9" t="n">
        <v>2073.4</v>
      </c>
      <c r="E112" s="9" t="n">
        <v>158.7</v>
      </c>
      <c r="F112" s="9" t="n">
        <v>258.6</v>
      </c>
      <c r="G112" s="9" t="n">
        <v>0</v>
      </c>
      <c r="H112" s="9" t="n">
        <f aca="false">SUM(C112:G112)</f>
        <v>3946</v>
      </c>
    </row>
    <row r="113" customFormat="false" ht="15" hidden="false" customHeight="false" outlineLevel="0" collapsed="false">
      <c r="A113" s="7" t="s">
        <v>48</v>
      </c>
      <c r="B113" s="7" t="s">
        <v>69</v>
      </c>
      <c r="C113" s="9" t="n">
        <v>698.5</v>
      </c>
      <c r="D113" s="9" t="n">
        <v>2518.9</v>
      </c>
      <c r="E113" s="9" t="n">
        <v>569.4</v>
      </c>
      <c r="F113" s="9" t="n">
        <v>179.2</v>
      </c>
      <c r="G113" s="9" t="n">
        <v>0</v>
      </c>
      <c r="H113" s="9" t="n">
        <f aca="false">SUM(C113:G113)</f>
        <v>3966</v>
      </c>
    </row>
    <row r="114" customFormat="false" ht="15" hidden="false" customHeight="false" outlineLevel="0" collapsed="false">
      <c r="A114" s="7" t="s">
        <v>43</v>
      </c>
      <c r="B114" s="7" t="s">
        <v>70</v>
      </c>
      <c r="C114" s="9" t="n">
        <v>1257.6</v>
      </c>
      <c r="D114" s="9" t="n">
        <v>1947.5</v>
      </c>
      <c r="E114" s="9" t="n">
        <v>579.4</v>
      </c>
      <c r="F114" s="9" t="n">
        <v>176.5</v>
      </c>
      <c r="G114" s="9" t="n">
        <v>0</v>
      </c>
      <c r="H114" s="9" t="n">
        <f aca="false">SUM(C114:G114)</f>
        <v>3961</v>
      </c>
    </row>
    <row r="115" customFormat="false" ht="15" hidden="false" customHeight="false" outlineLevel="0" collapsed="false">
      <c r="A115" s="7" t="s">
        <v>45</v>
      </c>
      <c r="B115" s="7" t="s">
        <v>70</v>
      </c>
      <c r="C115" s="9" t="n">
        <v>608.8</v>
      </c>
      <c r="D115" s="9" t="n">
        <v>1821</v>
      </c>
      <c r="E115" s="9" t="n">
        <v>1254.8</v>
      </c>
      <c r="F115" s="9" t="n">
        <v>291.4</v>
      </c>
      <c r="G115" s="9" t="n">
        <v>0</v>
      </c>
      <c r="H115" s="9" t="n">
        <f aca="false">SUM(C115:G115)</f>
        <v>3976</v>
      </c>
    </row>
    <row r="116" customFormat="false" ht="15" hidden="false" customHeight="false" outlineLevel="0" collapsed="false">
      <c r="A116" s="7" t="s">
        <v>46</v>
      </c>
      <c r="B116" s="7" t="s">
        <v>70</v>
      </c>
      <c r="C116" s="9" t="n">
        <v>645</v>
      </c>
      <c r="D116" s="9" t="n">
        <v>2601.6</v>
      </c>
      <c r="E116" s="9" t="n">
        <v>526.5</v>
      </c>
      <c r="F116" s="9" t="n">
        <v>182.9</v>
      </c>
      <c r="G116" s="9" t="n">
        <v>0</v>
      </c>
      <c r="H116" s="9" t="n">
        <f aca="false">SUM(C116:G116)</f>
        <v>3956</v>
      </c>
    </row>
    <row r="117" customFormat="false" ht="15" hidden="false" customHeight="false" outlineLevel="0" collapsed="false">
      <c r="A117" s="7" t="s">
        <v>47</v>
      </c>
      <c r="B117" s="7" t="s">
        <v>70</v>
      </c>
      <c r="C117" s="9" t="n">
        <v>808.1</v>
      </c>
      <c r="D117" s="9" t="n">
        <v>2630.4</v>
      </c>
      <c r="E117" s="9" t="n">
        <v>309.9</v>
      </c>
      <c r="F117" s="9" t="n">
        <v>212.6</v>
      </c>
      <c r="G117" s="9" t="n">
        <v>0</v>
      </c>
      <c r="H117" s="9" t="n">
        <f aca="false">SUM(C117:G117)</f>
        <v>3961</v>
      </c>
    </row>
    <row r="118" customFormat="false" ht="15" hidden="false" customHeight="false" outlineLevel="0" collapsed="false">
      <c r="A118" s="7" t="s">
        <v>48</v>
      </c>
      <c r="B118" s="7" t="s">
        <v>70</v>
      </c>
      <c r="C118" s="9" t="n">
        <v>1234.8</v>
      </c>
      <c r="D118" s="9" t="n">
        <v>2340.8</v>
      </c>
      <c r="E118" s="9" t="n">
        <v>153.4</v>
      </c>
      <c r="F118" s="9" t="n">
        <v>247.1</v>
      </c>
      <c r="G118" s="9" t="n">
        <v>0</v>
      </c>
      <c r="H118" s="9" t="n">
        <f aca="false">SUM(C118:G118)</f>
        <v>3976.1</v>
      </c>
    </row>
    <row r="119" customFormat="false" ht="15" hidden="false" customHeight="false" outlineLevel="0" collapsed="false">
      <c r="A119" s="7" t="s">
        <v>43</v>
      </c>
      <c r="B119" s="7" t="s">
        <v>71</v>
      </c>
      <c r="C119" s="9" t="n">
        <v>1019.4</v>
      </c>
      <c r="D119" s="9" t="n">
        <v>1744.3</v>
      </c>
      <c r="E119" s="9" t="n">
        <v>754.1</v>
      </c>
      <c r="F119" s="9" t="n">
        <v>428.1</v>
      </c>
      <c r="G119" s="9" t="n">
        <v>0</v>
      </c>
      <c r="H119" s="9" t="n">
        <f aca="false">SUM(C119:G119)</f>
        <v>3945.9</v>
      </c>
    </row>
    <row r="120" customFormat="false" ht="15" hidden="false" customHeight="false" outlineLevel="0" collapsed="false">
      <c r="A120" s="7" t="s">
        <v>45</v>
      </c>
      <c r="B120" s="7" t="s">
        <v>71</v>
      </c>
      <c r="C120" s="9" t="n">
        <v>817.2</v>
      </c>
      <c r="D120" s="9" t="n">
        <v>2402.6</v>
      </c>
      <c r="E120" s="9" t="n">
        <v>288.5</v>
      </c>
      <c r="F120" s="9" t="n">
        <v>447.8</v>
      </c>
      <c r="G120" s="9" t="n">
        <v>0</v>
      </c>
      <c r="H120" s="9" t="n">
        <f aca="false">SUM(C120:G120)</f>
        <v>3956.1</v>
      </c>
    </row>
    <row r="121" customFormat="false" ht="15" hidden="false" customHeight="false" outlineLevel="0" collapsed="false">
      <c r="A121" s="7" t="s">
        <v>46</v>
      </c>
      <c r="B121" s="7" t="s">
        <v>71</v>
      </c>
      <c r="C121" s="9" t="n">
        <v>838.9</v>
      </c>
      <c r="D121" s="9" t="n">
        <v>2476.3</v>
      </c>
      <c r="E121" s="9" t="n">
        <v>502.9</v>
      </c>
      <c r="F121" s="9" t="n">
        <v>137.9</v>
      </c>
      <c r="G121" s="9" t="n">
        <v>0</v>
      </c>
      <c r="H121" s="9" t="n">
        <f aca="false">SUM(C121:G121)</f>
        <v>3956</v>
      </c>
    </row>
    <row r="122" customFormat="false" ht="15" hidden="false" customHeight="false" outlineLevel="0" collapsed="false">
      <c r="A122" s="7" t="s">
        <v>47</v>
      </c>
      <c r="B122" s="7" t="s">
        <v>71</v>
      </c>
      <c r="C122" s="9" t="n">
        <v>1296.2</v>
      </c>
      <c r="D122" s="9" t="n">
        <v>2428.2</v>
      </c>
      <c r="E122" s="9" t="n">
        <v>123.6</v>
      </c>
      <c r="F122" s="9" t="n">
        <v>118.1</v>
      </c>
      <c r="G122" s="9" t="n">
        <v>0</v>
      </c>
      <c r="H122" s="9" t="n">
        <f aca="false">SUM(C122:G122)</f>
        <v>3966.1</v>
      </c>
    </row>
    <row r="123" customFormat="false" ht="15" hidden="false" customHeight="false" outlineLevel="0" collapsed="false">
      <c r="A123" s="7" t="s">
        <v>48</v>
      </c>
      <c r="B123" s="7" t="s">
        <v>71</v>
      </c>
      <c r="C123" s="9" t="n">
        <v>1156.7</v>
      </c>
      <c r="D123" s="9" t="n">
        <v>2248.4</v>
      </c>
      <c r="E123" s="9" t="n">
        <v>309.5</v>
      </c>
      <c r="F123" s="9" t="n">
        <v>236.3</v>
      </c>
      <c r="G123" s="9" t="n">
        <v>0</v>
      </c>
      <c r="H123" s="9" t="n">
        <f aca="false">SUM(C123:G123)</f>
        <v>3950.9</v>
      </c>
    </row>
    <row r="124" customFormat="false" ht="15" hidden="false" customHeight="false" outlineLevel="0" collapsed="false">
      <c r="A124" s="7" t="s">
        <v>43</v>
      </c>
      <c r="B124" s="7" t="s">
        <v>72</v>
      </c>
      <c r="C124" s="9" t="n">
        <v>643.4</v>
      </c>
      <c r="D124" s="9" t="n">
        <v>2453.9</v>
      </c>
      <c r="E124" s="9" t="n">
        <v>274.2</v>
      </c>
      <c r="F124" s="9" t="n">
        <v>574.5</v>
      </c>
      <c r="G124" s="9" t="n">
        <v>0</v>
      </c>
      <c r="H124" s="9" t="n">
        <f aca="false">SUM(C124:G124)</f>
        <v>3946</v>
      </c>
    </row>
    <row r="125" customFormat="false" ht="15" hidden="false" customHeight="false" outlineLevel="0" collapsed="false">
      <c r="A125" s="7" t="s">
        <v>45</v>
      </c>
      <c r="B125" s="7" t="s">
        <v>72</v>
      </c>
      <c r="C125" s="9" t="n">
        <v>1065.6</v>
      </c>
      <c r="D125" s="9" t="n">
        <v>1961.1</v>
      </c>
      <c r="E125" s="9" t="n">
        <v>551.8</v>
      </c>
      <c r="F125" s="9" t="n">
        <v>367.6</v>
      </c>
      <c r="G125" s="9" t="n">
        <v>0</v>
      </c>
      <c r="H125" s="9" t="n">
        <f aca="false">SUM(C125:G125)</f>
        <v>3946.1</v>
      </c>
    </row>
    <row r="126" customFormat="false" ht="15" hidden="false" customHeight="false" outlineLevel="0" collapsed="false">
      <c r="A126" s="7" t="s">
        <v>46</v>
      </c>
      <c r="B126" s="7" t="s">
        <v>72</v>
      </c>
      <c r="C126" s="9" t="n">
        <v>737.6</v>
      </c>
      <c r="D126" s="9" t="n">
        <v>2639.6</v>
      </c>
      <c r="E126" s="9" t="n">
        <v>214.7</v>
      </c>
      <c r="F126" s="9" t="n">
        <v>384.1</v>
      </c>
      <c r="G126" s="9" t="n">
        <v>0</v>
      </c>
      <c r="H126" s="9" t="n">
        <f aca="false">SUM(C126:G126)</f>
        <v>3976</v>
      </c>
    </row>
    <row r="127" customFormat="false" ht="15" hidden="false" customHeight="false" outlineLevel="0" collapsed="false">
      <c r="A127" s="7" t="s">
        <v>47</v>
      </c>
      <c r="B127" s="7" t="s">
        <v>72</v>
      </c>
      <c r="C127" s="9" t="n">
        <v>1056.8</v>
      </c>
      <c r="D127" s="9" t="n">
        <v>2084.3</v>
      </c>
      <c r="E127" s="9" t="n">
        <v>577.6</v>
      </c>
      <c r="F127" s="9" t="n">
        <v>237.3</v>
      </c>
      <c r="G127" s="9" t="n">
        <v>0</v>
      </c>
      <c r="H127" s="9" t="n">
        <f aca="false">SUM(C127:G127)</f>
        <v>3956</v>
      </c>
    </row>
    <row r="128" customFormat="false" ht="15" hidden="false" customHeight="false" outlineLevel="0" collapsed="false">
      <c r="A128" s="7" t="s">
        <v>48</v>
      </c>
      <c r="B128" s="7" t="s">
        <v>72</v>
      </c>
      <c r="C128" s="9" t="n">
        <v>1147.7</v>
      </c>
      <c r="D128" s="9" t="n">
        <v>2188.6</v>
      </c>
      <c r="E128" s="9" t="n">
        <v>446.1</v>
      </c>
      <c r="F128" s="9" t="n">
        <v>168.6</v>
      </c>
      <c r="G128" s="9" t="n">
        <v>0</v>
      </c>
      <c r="H128" s="9" t="n">
        <f aca="false">SUM(C128:G128)</f>
        <v>3951</v>
      </c>
    </row>
    <row r="129" customFormat="false" ht="15" hidden="false" customHeight="false" outlineLevel="0" collapsed="false">
      <c r="A129" s="7" t="s">
        <v>43</v>
      </c>
      <c r="B129" s="7" t="s">
        <v>73</v>
      </c>
      <c r="C129" s="9" t="n">
        <v>921.2</v>
      </c>
      <c r="D129" s="9" t="n">
        <v>2765.7</v>
      </c>
      <c r="E129" s="9" t="n">
        <v>2.1</v>
      </c>
      <c r="F129" s="9" t="n">
        <v>272</v>
      </c>
      <c r="G129" s="9" t="n">
        <v>0</v>
      </c>
      <c r="H129" s="9" t="n">
        <f aca="false">SUM(C129:G129)</f>
        <v>3961</v>
      </c>
    </row>
    <row r="130" customFormat="false" ht="15" hidden="false" customHeight="false" outlineLevel="0" collapsed="false">
      <c r="A130" s="7" t="s">
        <v>45</v>
      </c>
      <c r="B130" s="7" t="s">
        <v>73</v>
      </c>
      <c r="C130" s="9" t="n">
        <v>770.2</v>
      </c>
      <c r="D130" s="9" t="n">
        <v>2151.9</v>
      </c>
      <c r="E130" s="9" t="n">
        <v>900.5</v>
      </c>
      <c r="F130" s="9" t="n">
        <v>143.4</v>
      </c>
      <c r="G130" s="9" t="n">
        <v>0</v>
      </c>
      <c r="H130" s="9" t="n">
        <f aca="false">SUM(C130:G130)</f>
        <v>3966</v>
      </c>
    </row>
    <row r="131" customFormat="false" ht="15" hidden="false" customHeight="false" outlineLevel="0" collapsed="false">
      <c r="A131" s="7" t="s">
        <v>46</v>
      </c>
      <c r="B131" s="7" t="s">
        <v>73</v>
      </c>
      <c r="C131" s="9" t="n">
        <v>1054.7</v>
      </c>
      <c r="D131" s="9" t="n">
        <v>1636</v>
      </c>
      <c r="E131" s="9" t="n">
        <v>668.9</v>
      </c>
      <c r="F131" s="9" t="n">
        <v>100.3</v>
      </c>
      <c r="G131" s="9" t="n">
        <v>511.1</v>
      </c>
      <c r="H131" s="9" t="n">
        <f aca="false">SUM(C131:G131)</f>
        <v>3971</v>
      </c>
    </row>
    <row r="132" customFormat="false" ht="15" hidden="false" customHeight="false" outlineLevel="0" collapsed="false">
      <c r="A132" s="7" t="s">
        <v>47</v>
      </c>
      <c r="B132" s="7" t="s">
        <v>73</v>
      </c>
      <c r="C132" s="9" t="n">
        <v>1168.5</v>
      </c>
      <c r="D132" s="9" t="n">
        <v>2040.7</v>
      </c>
      <c r="E132" s="9" t="n">
        <v>626.5</v>
      </c>
      <c r="F132" s="9" t="n">
        <v>140.3</v>
      </c>
      <c r="G132" s="9" t="n">
        <v>0</v>
      </c>
      <c r="H132" s="9" t="n">
        <f aca="false">SUM(C132:G132)</f>
        <v>3976</v>
      </c>
    </row>
    <row r="133" customFormat="false" ht="15" hidden="false" customHeight="false" outlineLevel="0" collapsed="false">
      <c r="A133" s="7" t="s">
        <v>48</v>
      </c>
      <c r="B133" s="7" t="s">
        <v>73</v>
      </c>
      <c r="C133" s="9" t="n">
        <v>790.3</v>
      </c>
      <c r="D133" s="9" t="n">
        <v>2559.5</v>
      </c>
      <c r="E133" s="9" t="n">
        <v>405.8</v>
      </c>
      <c r="F133" s="9" t="n">
        <v>195.4</v>
      </c>
      <c r="G133" s="9" t="n">
        <v>0</v>
      </c>
      <c r="H133" s="9" t="n">
        <f aca="false">SUM(C133:G133)</f>
        <v>3951</v>
      </c>
    </row>
    <row r="134" customFormat="false" ht="15" hidden="false" customHeight="false" outlineLevel="0" collapsed="false">
      <c r="A134" s="7" t="s">
        <v>43</v>
      </c>
      <c r="B134" s="7" t="s">
        <v>74</v>
      </c>
      <c r="C134" s="9" t="n">
        <v>966.5</v>
      </c>
      <c r="D134" s="9" t="n">
        <v>2172.8</v>
      </c>
      <c r="E134" s="9" t="n">
        <v>308.2</v>
      </c>
      <c r="F134" s="9" t="n">
        <v>513.5</v>
      </c>
      <c r="G134" s="9" t="n">
        <v>0</v>
      </c>
      <c r="H134" s="9" t="n">
        <f aca="false">SUM(C134:G134)</f>
        <v>3961</v>
      </c>
    </row>
    <row r="135" customFormat="false" ht="15" hidden="false" customHeight="false" outlineLevel="0" collapsed="false">
      <c r="A135" s="7" t="s">
        <v>45</v>
      </c>
      <c r="B135" s="7" t="s">
        <v>74</v>
      </c>
      <c r="C135" s="9" t="n">
        <v>1465.2</v>
      </c>
      <c r="D135" s="9" t="n">
        <v>1835.4</v>
      </c>
      <c r="E135" s="9" t="n">
        <v>305.6</v>
      </c>
      <c r="F135" s="9" t="n">
        <v>364.9</v>
      </c>
      <c r="G135" s="9" t="n">
        <v>0</v>
      </c>
      <c r="H135" s="9" t="n">
        <f aca="false">SUM(C135:G135)</f>
        <v>3971.1</v>
      </c>
    </row>
    <row r="136" customFormat="false" ht="15" hidden="false" customHeight="false" outlineLevel="0" collapsed="false">
      <c r="A136" s="7" t="s">
        <v>46</v>
      </c>
      <c r="B136" s="7" t="s">
        <v>74</v>
      </c>
      <c r="C136" s="9" t="n">
        <v>1743</v>
      </c>
      <c r="D136" s="9" t="n">
        <v>1645</v>
      </c>
      <c r="E136" s="9" t="n">
        <v>404.1</v>
      </c>
      <c r="F136" s="9" t="n">
        <v>174</v>
      </c>
      <c r="G136" s="9" t="n">
        <v>0</v>
      </c>
      <c r="H136" s="9" t="n">
        <f aca="false">SUM(C136:G136)</f>
        <v>3966.1</v>
      </c>
    </row>
    <row r="137" customFormat="false" ht="15" hidden="false" customHeight="false" outlineLevel="0" collapsed="false">
      <c r="A137" s="7" t="s">
        <v>47</v>
      </c>
      <c r="B137" s="7" t="s">
        <v>74</v>
      </c>
      <c r="C137" s="9" t="n">
        <v>1200.2</v>
      </c>
      <c r="D137" s="9" t="n">
        <v>2325.9</v>
      </c>
      <c r="E137" s="9" t="n">
        <v>252.3</v>
      </c>
      <c r="F137" s="9" t="n">
        <v>167.5</v>
      </c>
      <c r="G137" s="9" t="n">
        <v>0</v>
      </c>
      <c r="H137" s="9" t="n">
        <f aca="false">SUM(C137:G137)</f>
        <v>3945.9</v>
      </c>
    </row>
    <row r="138" customFormat="false" ht="15" hidden="false" customHeight="false" outlineLevel="0" collapsed="false">
      <c r="A138" s="7" t="s">
        <v>48</v>
      </c>
      <c r="B138" s="7" t="s">
        <v>74</v>
      </c>
      <c r="C138" s="9" t="n">
        <v>1462.6</v>
      </c>
      <c r="D138" s="9" t="n">
        <v>1636.4</v>
      </c>
      <c r="E138" s="9" t="n">
        <v>691.3</v>
      </c>
      <c r="F138" s="9" t="n">
        <v>155.7</v>
      </c>
      <c r="G138" s="9" t="n">
        <v>0</v>
      </c>
      <c r="H138" s="9" t="n">
        <f aca="false">SUM(C138:G138)</f>
        <v>3946</v>
      </c>
    </row>
    <row r="139" customFormat="false" ht="15" hidden="false" customHeight="false" outlineLevel="0" collapsed="false">
      <c r="A139" s="7" t="s">
        <v>43</v>
      </c>
      <c r="B139" s="7" t="s">
        <v>75</v>
      </c>
      <c r="C139" s="9" t="n">
        <v>758.5</v>
      </c>
      <c r="D139" s="9" t="n">
        <v>2706.8</v>
      </c>
      <c r="E139" s="9" t="n">
        <v>345.1</v>
      </c>
      <c r="F139" s="9" t="n">
        <v>160.6</v>
      </c>
      <c r="G139" s="9" t="n">
        <v>0</v>
      </c>
      <c r="H139" s="9" t="n">
        <f aca="false">SUM(C139:G139)</f>
        <v>3971</v>
      </c>
    </row>
    <row r="140" customFormat="false" ht="15" hidden="false" customHeight="false" outlineLevel="0" collapsed="false">
      <c r="A140" s="7" t="s">
        <v>45</v>
      </c>
      <c r="B140" s="7" t="s">
        <v>75</v>
      </c>
      <c r="C140" s="9" t="n">
        <v>837.9</v>
      </c>
      <c r="D140" s="9" t="n">
        <v>2207.9</v>
      </c>
      <c r="E140" s="9" t="n">
        <v>818.8</v>
      </c>
      <c r="F140" s="9" t="n">
        <v>96.3</v>
      </c>
      <c r="G140" s="9" t="n">
        <v>0</v>
      </c>
      <c r="H140" s="9" t="n">
        <f aca="false">SUM(C140:G140)</f>
        <v>3960.9</v>
      </c>
    </row>
    <row r="141" customFormat="false" ht="15" hidden="false" customHeight="false" outlineLevel="0" collapsed="false">
      <c r="A141" s="7" t="s">
        <v>46</v>
      </c>
      <c r="B141" s="7" t="s">
        <v>75</v>
      </c>
      <c r="C141" s="9" t="n">
        <v>416.3</v>
      </c>
      <c r="D141" s="9" t="n">
        <v>2799.1</v>
      </c>
      <c r="E141" s="9" t="n">
        <v>464.2</v>
      </c>
      <c r="F141" s="9" t="n">
        <v>281.4</v>
      </c>
      <c r="G141" s="9" t="n">
        <v>0</v>
      </c>
      <c r="H141" s="9" t="n">
        <f aca="false">SUM(C141:G141)</f>
        <v>3961</v>
      </c>
    </row>
    <row r="142" customFormat="false" ht="15" hidden="false" customHeight="false" outlineLevel="0" collapsed="false">
      <c r="A142" s="7" t="s">
        <v>47</v>
      </c>
      <c r="B142" s="7" t="s">
        <v>75</v>
      </c>
      <c r="C142" s="9" t="n">
        <v>789.9</v>
      </c>
      <c r="D142" s="9" t="n">
        <v>2618.3</v>
      </c>
      <c r="E142" s="9" t="n">
        <v>256.2</v>
      </c>
      <c r="F142" s="9" t="n">
        <v>296.6</v>
      </c>
      <c r="G142" s="9" t="n">
        <v>0</v>
      </c>
      <c r="H142" s="9" t="n">
        <f aca="false">SUM(C142:G142)</f>
        <v>3961</v>
      </c>
    </row>
    <row r="143" customFormat="false" ht="15" hidden="false" customHeight="false" outlineLevel="0" collapsed="false">
      <c r="A143" s="7" t="s">
        <v>48</v>
      </c>
      <c r="B143" s="7" t="s">
        <v>75</v>
      </c>
      <c r="C143" s="9" t="n">
        <v>2132.9</v>
      </c>
      <c r="D143" s="9" t="n">
        <v>1261.6</v>
      </c>
      <c r="E143" s="9" t="n">
        <v>353.7</v>
      </c>
      <c r="F143" s="9" t="n">
        <v>207.8</v>
      </c>
      <c r="G143" s="9" t="n">
        <v>0</v>
      </c>
      <c r="H143" s="9" t="n">
        <f aca="false">SUM(C143:G143)</f>
        <v>3956</v>
      </c>
    </row>
    <row r="144" customFormat="false" ht="15" hidden="false" customHeight="false" outlineLevel="0" collapsed="false">
      <c r="A144" s="7" t="s">
        <v>43</v>
      </c>
      <c r="B144" s="7" t="s">
        <v>76</v>
      </c>
      <c r="C144" s="9" t="n">
        <v>1412.5</v>
      </c>
      <c r="D144" s="9" t="n">
        <v>1585.3</v>
      </c>
      <c r="E144" s="9" t="n">
        <v>666</v>
      </c>
      <c r="F144" s="9" t="n">
        <v>282.1</v>
      </c>
      <c r="G144" s="9" t="n">
        <v>0</v>
      </c>
      <c r="H144" s="9" t="n">
        <f aca="false">SUM(C144:G144)</f>
        <v>3945.9</v>
      </c>
    </row>
    <row r="145" customFormat="false" ht="15" hidden="false" customHeight="false" outlineLevel="0" collapsed="false">
      <c r="A145" s="7" t="s">
        <v>45</v>
      </c>
      <c r="B145" s="7" t="s">
        <v>76</v>
      </c>
      <c r="C145" s="9" t="n">
        <v>684.1</v>
      </c>
      <c r="D145" s="9" t="n">
        <v>2471</v>
      </c>
      <c r="E145" s="9" t="n">
        <v>303.1</v>
      </c>
      <c r="F145" s="9" t="n">
        <v>502.9</v>
      </c>
      <c r="G145" s="9" t="n">
        <v>0</v>
      </c>
      <c r="H145" s="9" t="n">
        <f aca="false">SUM(C145:G145)</f>
        <v>3961.1</v>
      </c>
    </row>
    <row r="146" customFormat="false" ht="15" hidden="false" customHeight="false" outlineLevel="0" collapsed="false">
      <c r="A146" s="7" t="s">
        <v>46</v>
      </c>
      <c r="B146" s="7" t="s">
        <v>76</v>
      </c>
      <c r="C146" s="9" t="n">
        <v>1409.3</v>
      </c>
      <c r="D146" s="9" t="n">
        <v>2313.5</v>
      </c>
      <c r="E146" s="9" t="n">
        <v>7.2</v>
      </c>
      <c r="F146" s="9" t="n">
        <v>231.1</v>
      </c>
      <c r="G146" s="9" t="n">
        <v>0</v>
      </c>
      <c r="H146" s="9" t="n">
        <f aca="false">SUM(C146:G146)</f>
        <v>3961.1</v>
      </c>
    </row>
    <row r="147" customFormat="false" ht="15" hidden="false" customHeight="false" outlineLevel="0" collapsed="false">
      <c r="A147" s="7" t="s">
        <v>47</v>
      </c>
      <c r="B147" s="7" t="s">
        <v>76</v>
      </c>
      <c r="C147" s="9" t="n">
        <v>940</v>
      </c>
      <c r="D147" s="9" t="n">
        <v>2539.8</v>
      </c>
      <c r="E147" s="9" t="n">
        <v>33.2</v>
      </c>
      <c r="F147" s="9" t="n">
        <v>447.9</v>
      </c>
      <c r="G147" s="9" t="n">
        <v>0</v>
      </c>
      <c r="H147" s="9" t="n">
        <f aca="false">SUM(C147:G147)</f>
        <v>3960.9</v>
      </c>
    </row>
    <row r="148" customFormat="false" ht="15" hidden="false" customHeight="false" outlineLevel="0" collapsed="false">
      <c r="A148" s="7" t="s">
        <v>48</v>
      </c>
      <c r="B148" s="7" t="s">
        <v>76</v>
      </c>
      <c r="C148" s="9" t="n">
        <v>140.3</v>
      </c>
      <c r="D148" s="9" t="n">
        <v>3122.3</v>
      </c>
      <c r="E148" s="9" t="n">
        <v>0</v>
      </c>
      <c r="F148" s="9" t="n">
        <v>703.4</v>
      </c>
      <c r="G148" s="9" t="n">
        <v>0</v>
      </c>
      <c r="H148" s="9" t="n">
        <f aca="false">SUM(C148:G148)</f>
        <v>3966</v>
      </c>
    </row>
    <row r="149" customFormat="false" ht="15" hidden="false" customHeight="false" outlineLevel="0" collapsed="false">
      <c r="A149" s="7" t="s">
        <v>43</v>
      </c>
      <c r="B149" s="7" t="s">
        <v>77</v>
      </c>
      <c r="C149" s="9" t="n">
        <v>2198.2</v>
      </c>
      <c r="D149" s="9" t="n">
        <v>1164.6</v>
      </c>
      <c r="E149" s="9" t="n">
        <v>318.9</v>
      </c>
      <c r="F149" s="9" t="n">
        <v>284.3</v>
      </c>
      <c r="G149" s="9" t="n">
        <v>0</v>
      </c>
      <c r="H149" s="9" t="n">
        <f aca="false">SUM(C149:G149)</f>
        <v>3966</v>
      </c>
    </row>
    <row r="150" customFormat="false" ht="15" hidden="false" customHeight="false" outlineLevel="0" collapsed="false">
      <c r="A150" s="7" t="s">
        <v>45</v>
      </c>
      <c r="B150" s="7" t="s">
        <v>77</v>
      </c>
      <c r="C150" s="9" t="n">
        <v>841.8</v>
      </c>
      <c r="D150" s="9" t="n">
        <v>2594.7</v>
      </c>
      <c r="E150" s="9" t="n">
        <v>350.8</v>
      </c>
      <c r="F150" s="9" t="n">
        <v>163.7</v>
      </c>
      <c r="G150" s="9" t="n">
        <v>0</v>
      </c>
      <c r="H150" s="9" t="n">
        <f aca="false">SUM(C150:G150)</f>
        <v>3951</v>
      </c>
    </row>
    <row r="151" customFormat="false" ht="15" hidden="false" customHeight="false" outlineLevel="0" collapsed="false">
      <c r="A151" s="7" t="s">
        <v>46</v>
      </c>
      <c r="B151" s="7" t="s">
        <v>77</v>
      </c>
      <c r="C151" s="9" t="n">
        <v>815.4</v>
      </c>
      <c r="D151" s="9" t="n">
        <v>2169.7</v>
      </c>
      <c r="E151" s="9" t="n">
        <v>645.6</v>
      </c>
      <c r="F151" s="9" t="n">
        <v>315.3</v>
      </c>
      <c r="G151" s="9" t="n">
        <v>0</v>
      </c>
      <c r="H151" s="9" t="n">
        <f aca="false">SUM(C151:G151)</f>
        <v>3946</v>
      </c>
    </row>
    <row r="152" customFormat="false" ht="15" hidden="false" customHeight="false" outlineLevel="0" collapsed="false">
      <c r="A152" s="7" t="s">
        <v>47</v>
      </c>
      <c r="B152" s="7" t="s">
        <v>77</v>
      </c>
      <c r="C152" s="9" t="n">
        <v>1050.3</v>
      </c>
      <c r="D152" s="9" t="n">
        <v>2330.8</v>
      </c>
      <c r="E152" s="9" t="n">
        <v>207.7</v>
      </c>
      <c r="F152" s="9" t="n">
        <v>357.2</v>
      </c>
      <c r="G152" s="9" t="n">
        <v>0</v>
      </c>
      <c r="H152" s="9" t="n">
        <f aca="false">SUM(C152:G152)</f>
        <v>3946</v>
      </c>
    </row>
    <row r="153" customFormat="false" ht="15" hidden="false" customHeight="false" outlineLevel="0" collapsed="false">
      <c r="A153" s="7" t="s">
        <v>48</v>
      </c>
      <c r="B153" s="7" t="s">
        <v>77</v>
      </c>
      <c r="C153" s="9" t="n">
        <v>710.2</v>
      </c>
      <c r="D153" s="9" t="n">
        <v>2063.5</v>
      </c>
      <c r="E153" s="9" t="n">
        <v>588.1</v>
      </c>
      <c r="F153" s="9" t="n">
        <v>589.2</v>
      </c>
      <c r="G153" s="9" t="n">
        <v>0</v>
      </c>
      <c r="H153" s="9" t="n">
        <f aca="false">SUM(C153:G153)</f>
        <v>3951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11" min="3" style="0" width="12"/>
  </cols>
  <sheetData>
    <row r="1" customFormat="false" ht="17.35" hidden="false" customHeight="false" outlineLevel="0" collapsed="false">
      <c r="A1" s="1" t="s">
        <v>92</v>
      </c>
    </row>
    <row r="3" customFormat="false" ht="15" hidden="false" customHeight="false" outlineLevel="0" collapsed="false">
      <c r="A3" s="6" t="s">
        <v>36</v>
      </c>
      <c r="B3" s="6" t="s">
        <v>37</v>
      </c>
      <c r="C3" s="6" t="s">
        <v>81</v>
      </c>
      <c r="D3" s="6" t="s">
        <v>82</v>
      </c>
      <c r="E3" s="6" t="s">
        <v>83</v>
      </c>
      <c r="F3" s="6" t="s">
        <v>84</v>
      </c>
      <c r="G3" s="6" t="s">
        <v>85</v>
      </c>
      <c r="H3" s="6" t="s">
        <v>86</v>
      </c>
      <c r="I3" s="6" t="s">
        <v>87</v>
      </c>
      <c r="J3" s="6" t="s">
        <v>88</v>
      </c>
      <c r="K3" s="6" t="s">
        <v>91</v>
      </c>
    </row>
    <row r="4" customFormat="false" ht="15" hidden="false" customHeight="false" outlineLevel="0" collapsed="false">
      <c r="A4" s="7" t="s">
        <v>43</v>
      </c>
      <c r="B4" s="7" t="s">
        <v>44</v>
      </c>
      <c r="C4" s="9" t="n">
        <v>528</v>
      </c>
      <c r="D4" s="9" t="n">
        <v>2021</v>
      </c>
      <c r="E4" s="9" t="n">
        <v>720</v>
      </c>
      <c r="F4" s="9" t="n">
        <v>96</v>
      </c>
      <c r="G4" s="9" t="n">
        <v>144</v>
      </c>
      <c r="H4" s="9" t="n">
        <v>48</v>
      </c>
      <c r="I4" s="9" t="n">
        <v>0</v>
      </c>
      <c r="J4" s="9" t="n">
        <v>384</v>
      </c>
      <c r="K4" s="9" t="n">
        <f aca="false">SUM(C4:J4)</f>
        <v>3941</v>
      </c>
    </row>
    <row r="5" customFormat="false" ht="15" hidden="false" customHeight="false" outlineLevel="0" collapsed="false">
      <c r="A5" s="7" t="s">
        <v>45</v>
      </c>
      <c r="B5" s="7" t="s">
        <v>44</v>
      </c>
      <c r="C5" s="9" t="n">
        <v>2031</v>
      </c>
      <c r="D5" s="9" t="n">
        <v>1167</v>
      </c>
      <c r="E5" s="9" t="n">
        <v>96</v>
      </c>
      <c r="F5" s="9" t="n">
        <v>288</v>
      </c>
      <c r="G5" s="9" t="n">
        <v>48</v>
      </c>
      <c r="H5" s="9" t="n">
        <v>0</v>
      </c>
      <c r="I5" s="9" t="n">
        <v>53</v>
      </c>
      <c r="J5" s="9" t="n">
        <v>288</v>
      </c>
      <c r="K5" s="9" t="n">
        <f aca="false">SUM(C5:J5)</f>
        <v>3971</v>
      </c>
    </row>
    <row r="6" customFormat="false" ht="15" hidden="false" customHeight="false" outlineLevel="0" collapsed="false">
      <c r="A6" s="7" t="s">
        <v>46</v>
      </c>
      <c r="B6" s="7" t="s">
        <v>44</v>
      </c>
      <c r="C6" s="9" t="n">
        <v>1738</v>
      </c>
      <c r="D6" s="9" t="n">
        <v>1119</v>
      </c>
      <c r="E6" s="9" t="n">
        <v>293</v>
      </c>
      <c r="F6" s="9" t="n">
        <v>96</v>
      </c>
      <c r="G6" s="9" t="n">
        <v>581</v>
      </c>
      <c r="H6" s="9" t="n">
        <v>48</v>
      </c>
      <c r="I6" s="9" t="n">
        <v>0</v>
      </c>
      <c r="J6" s="9" t="n">
        <v>96</v>
      </c>
      <c r="K6" s="9" t="n">
        <f aca="false">SUM(C6:J6)</f>
        <v>3971</v>
      </c>
    </row>
    <row r="7" customFormat="false" ht="15" hidden="false" customHeight="false" outlineLevel="0" collapsed="false">
      <c r="A7" s="7" t="s">
        <v>47</v>
      </c>
      <c r="B7" s="7" t="s">
        <v>44</v>
      </c>
      <c r="C7" s="9" t="n">
        <v>1162</v>
      </c>
      <c r="D7" s="9" t="n">
        <v>485</v>
      </c>
      <c r="E7" s="9" t="n">
        <v>288</v>
      </c>
      <c r="F7" s="9" t="n">
        <v>384</v>
      </c>
      <c r="G7" s="9" t="n">
        <v>1349</v>
      </c>
      <c r="H7" s="9" t="n">
        <v>0</v>
      </c>
      <c r="I7" s="9" t="n">
        <v>0</v>
      </c>
      <c r="J7" s="9" t="n">
        <v>288</v>
      </c>
      <c r="K7" s="9" t="n">
        <f aca="false">SUM(C7:J7)</f>
        <v>3956</v>
      </c>
    </row>
    <row r="8" customFormat="false" ht="15" hidden="false" customHeight="false" outlineLevel="0" collapsed="false">
      <c r="A8" s="7" t="s">
        <v>48</v>
      </c>
      <c r="B8" s="7" t="s">
        <v>44</v>
      </c>
      <c r="C8" s="9" t="n">
        <v>2079</v>
      </c>
      <c r="D8" s="9" t="n">
        <v>1536</v>
      </c>
      <c r="E8" s="9" t="n">
        <v>96</v>
      </c>
      <c r="F8" s="9" t="n">
        <v>48</v>
      </c>
      <c r="G8" s="9" t="n">
        <v>96</v>
      </c>
      <c r="H8" s="9" t="n">
        <v>0</v>
      </c>
      <c r="I8" s="9" t="n">
        <v>0</v>
      </c>
      <c r="J8" s="9" t="n">
        <v>96</v>
      </c>
      <c r="K8" s="9" t="n">
        <f aca="false">SUM(C8:J8)</f>
        <v>3951</v>
      </c>
    </row>
    <row r="9" customFormat="false" ht="15" hidden="false" customHeight="false" outlineLevel="0" collapsed="false">
      <c r="A9" s="7" t="s">
        <v>43</v>
      </c>
      <c r="B9" s="7" t="s">
        <v>49</v>
      </c>
      <c r="C9" s="9" t="n">
        <v>48</v>
      </c>
      <c r="D9" s="9" t="n">
        <v>192</v>
      </c>
      <c r="E9" s="9" t="n">
        <v>1205</v>
      </c>
      <c r="F9" s="9" t="n">
        <v>528</v>
      </c>
      <c r="G9" s="9" t="n">
        <v>624</v>
      </c>
      <c r="H9" s="9" t="n">
        <v>432</v>
      </c>
      <c r="I9" s="9" t="n">
        <v>149</v>
      </c>
      <c r="J9" s="9" t="n">
        <v>773</v>
      </c>
      <c r="K9" s="9" t="n">
        <f aca="false">SUM(C9:J9)</f>
        <v>3951</v>
      </c>
    </row>
    <row r="10" customFormat="false" ht="15" hidden="false" customHeight="false" outlineLevel="0" collapsed="false">
      <c r="A10" s="7" t="s">
        <v>45</v>
      </c>
      <c r="B10" s="7" t="s">
        <v>49</v>
      </c>
      <c r="C10" s="9" t="n">
        <v>1205</v>
      </c>
      <c r="D10" s="9" t="n">
        <v>48</v>
      </c>
      <c r="E10" s="9" t="n">
        <v>965</v>
      </c>
      <c r="F10" s="9" t="n">
        <v>48</v>
      </c>
      <c r="G10" s="9" t="n">
        <v>1200</v>
      </c>
      <c r="H10" s="9" t="n">
        <v>48</v>
      </c>
      <c r="I10" s="9" t="n">
        <v>0</v>
      </c>
      <c r="J10" s="9" t="n">
        <v>432</v>
      </c>
      <c r="K10" s="9" t="n">
        <f aca="false">SUM(C10:J10)</f>
        <v>3946</v>
      </c>
    </row>
    <row r="11" customFormat="false" ht="15" hidden="false" customHeight="false" outlineLevel="0" collapsed="false">
      <c r="A11" s="7" t="s">
        <v>46</v>
      </c>
      <c r="B11" s="7" t="s">
        <v>49</v>
      </c>
      <c r="C11" s="9" t="n">
        <v>3337</v>
      </c>
      <c r="D11" s="9" t="n">
        <v>288</v>
      </c>
      <c r="E11" s="9" t="n">
        <v>144</v>
      </c>
      <c r="F11" s="9" t="n">
        <v>0</v>
      </c>
      <c r="G11" s="9" t="n">
        <v>0</v>
      </c>
      <c r="H11" s="9" t="n">
        <v>144</v>
      </c>
      <c r="I11" s="9" t="n">
        <v>0</v>
      </c>
      <c r="J11" s="9" t="n">
        <v>48</v>
      </c>
      <c r="K11" s="9" t="n">
        <f aca="false">SUM(C11:J11)</f>
        <v>3961</v>
      </c>
    </row>
    <row r="12" customFormat="false" ht="15" hidden="false" customHeight="false" outlineLevel="0" collapsed="false">
      <c r="A12" s="7" t="s">
        <v>47</v>
      </c>
      <c r="B12" s="7" t="s">
        <v>49</v>
      </c>
      <c r="C12" s="9" t="n">
        <v>1589</v>
      </c>
      <c r="D12" s="9" t="n">
        <v>1215</v>
      </c>
      <c r="E12" s="9" t="n">
        <v>240</v>
      </c>
      <c r="F12" s="9" t="n">
        <v>144</v>
      </c>
      <c r="G12" s="9" t="n">
        <v>480</v>
      </c>
      <c r="H12" s="9" t="n">
        <v>0</v>
      </c>
      <c r="I12" s="9" t="n">
        <v>48</v>
      </c>
      <c r="J12" s="9" t="n">
        <v>240</v>
      </c>
      <c r="K12" s="9" t="n">
        <f aca="false">SUM(C12:J12)</f>
        <v>3956</v>
      </c>
    </row>
    <row r="13" customFormat="false" ht="15" hidden="false" customHeight="false" outlineLevel="0" collapsed="false">
      <c r="A13" s="7" t="s">
        <v>48</v>
      </c>
      <c r="B13" s="7" t="s">
        <v>49</v>
      </c>
      <c r="C13" s="9" t="n">
        <v>0</v>
      </c>
      <c r="D13" s="9" t="n">
        <v>144</v>
      </c>
      <c r="E13" s="9" t="n">
        <v>144</v>
      </c>
      <c r="F13" s="9" t="n">
        <v>0</v>
      </c>
      <c r="G13" s="9" t="n">
        <v>672</v>
      </c>
      <c r="H13" s="9" t="n">
        <v>0</v>
      </c>
      <c r="I13" s="9" t="n">
        <v>0</v>
      </c>
      <c r="J13" s="9" t="n">
        <v>2991</v>
      </c>
      <c r="K13" s="9" t="n">
        <f aca="false">SUM(C13:J13)</f>
        <v>3951</v>
      </c>
    </row>
    <row r="14" customFormat="false" ht="15" hidden="false" customHeight="false" outlineLevel="0" collapsed="false">
      <c r="A14" s="7" t="s">
        <v>43</v>
      </c>
      <c r="B14" s="7" t="s">
        <v>50</v>
      </c>
      <c r="C14" s="9" t="n">
        <v>1637</v>
      </c>
      <c r="D14" s="9" t="n">
        <v>1268</v>
      </c>
      <c r="E14" s="9" t="n">
        <v>288</v>
      </c>
      <c r="F14" s="9" t="n">
        <v>639</v>
      </c>
      <c r="G14" s="9" t="n">
        <v>48</v>
      </c>
      <c r="H14" s="9" t="n">
        <v>0</v>
      </c>
      <c r="I14" s="9" t="n">
        <v>0</v>
      </c>
      <c r="J14" s="9" t="n">
        <v>101</v>
      </c>
      <c r="K14" s="9" t="n">
        <f aca="false">SUM(C14:J14)</f>
        <v>3981</v>
      </c>
    </row>
    <row r="15" customFormat="false" ht="15" hidden="false" customHeight="false" outlineLevel="0" collapsed="false">
      <c r="A15" s="7" t="s">
        <v>45</v>
      </c>
      <c r="B15" s="7" t="s">
        <v>50</v>
      </c>
      <c r="C15" s="9" t="n">
        <v>1465</v>
      </c>
      <c r="D15" s="9" t="n">
        <v>1316</v>
      </c>
      <c r="E15" s="9" t="n">
        <v>437</v>
      </c>
      <c r="F15" s="9" t="n">
        <v>192</v>
      </c>
      <c r="G15" s="9" t="n">
        <v>288</v>
      </c>
      <c r="H15" s="9" t="n">
        <v>53</v>
      </c>
      <c r="I15" s="9" t="n">
        <v>0</v>
      </c>
      <c r="J15" s="9" t="n">
        <v>245</v>
      </c>
      <c r="K15" s="9" t="n">
        <f aca="false">SUM(C15:J15)</f>
        <v>3996</v>
      </c>
    </row>
    <row r="16" customFormat="false" ht="15" hidden="false" customHeight="false" outlineLevel="0" collapsed="false">
      <c r="A16" s="7" t="s">
        <v>46</v>
      </c>
      <c r="B16" s="7" t="s">
        <v>50</v>
      </c>
      <c r="C16" s="9" t="n">
        <v>1781</v>
      </c>
      <c r="D16" s="9" t="n">
        <v>1417</v>
      </c>
      <c r="E16" s="9" t="n">
        <v>96</v>
      </c>
      <c r="F16" s="9" t="n">
        <v>384</v>
      </c>
      <c r="G16" s="9" t="n">
        <v>96</v>
      </c>
      <c r="H16" s="9" t="n">
        <v>0</v>
      </c>
      <c r="I16" s="9" t="n">
        <v>0</v>
      </c>
      <c r="J16" s="9" t="n">
        <v>192</v>
      </c>
      <c r="K16" s="9" t="n">
        <f aca="false">SUM(C16:J16)</f>
        <v>3966</v>
      </c>
    </row>
    <row r="17" customFormat="false" ht="15" hidden="false" customHeight="false" outlineLevel="0" collapsed="false">
      <c r="A17" s="7" t="s">
        <v>47</v>
      </c>
      <c r="B17" s="7" t="s">
        <v>50</v>
      </c>
      <c r="C17" s="9" t="n">
        <v>2218</v>
      </c>
      <c r="D17" s="9" t="n">
        <v>917</v>
      </c>
      <c r="E17" s="9" t="n">
        <v>346</v>
      </c>
      <c r="F17" s="9" t="n">
        <v>245</v>
      </c>
      <c r="G17" s="9" t="n">
        <v>96</v>
      </c>
      <c r="H17" s="9" t="n">
        <v>0</v>
      </c>
      <c r="I17" s="9" t="n">
        <v>0</v>
      </c>
      <c r="J17" s="9" t="n">
        <v>144</v>
      </c>
      <c r="K17" s="9" t="n">
        <f aca="false">SUM(C17:J17)</f>
        <v>3966</v>
      </c>
    </row>
    <row r="18" customFormat="false" ht="15" hidden="false" customHeight="false" outlineLevel="0" collapsed="false">
      <c r="A18" s="7" t="s">
        <v>48</v>
      </c>
      <c r="B18" s="7" t="s">
        <v>50</v>
      </c>
      <c r="C18" s="9" t="n">
        <v>528</v>
      </c>
      <c r="D18" s="9" t="n">
        <v>2314</v>
      </c>
      <c r="E18" s="9" t="n">
        <v>576</v>
      </c>
      <c r="F18" s="9" t="n">
        <v>240</v>
      </c>
      <c r="G18" s="9" t="n">
        <v>48</v>
      </c>
      <c r="H18" s="9" t="n">
        <v>0</v>
      </c>
      <c r="I18" s="9" t="n">
        <v>48</v>
      </c>
      <c r="J18" s="9" t="n">
        <v>192</v>
      </c>
      <c r="K18" s="9" t="n">
        <f aca="false">SUM(C18:J18)</f>
        <v>3946</v>
      </c>
    </row>
    <row r="19" customFormat="false" ht="15" hidden="false" customHeight="false" outlineLevel="0" collapsed="false">
      <c r="A19" s="7" t="s">
        <v>43</v>
      </c>
      <c r="B19" s="7" t="s">
        <v>51</v>
      </c>
      <c r="C19" s="9" t="n">
        <v>1445</v>
      </c>
      <c r="D19" s="9" t="n">
        <v>2238</v>
      </c>
      <c r="E19" s="9" t="n">
        <v>48</v>
      </c>
      <c r="F19" s="9" t="n">
        <v>0</v>
      </c>
      <c r="G19" s="9" t="n">
        <v>48</v>
      </c>
      <c r="H19" s="9" t="n">
        <v>0</v>
      </c>
      <c r="I19" s="9" t="n">
        <v>0</v>
      </c>
      <c r="J19" s="9" t="n">
        <v>197</v>
      </c>
      <c r="K19" s="9" t="n">
        <f aca="false">SUM(C19:J19)</f>
        <v>3976</v>
      </c>
    </row>
    <row r="20" customFormat="false" ht="15" hidden="false" customHeight="false" outlineLevel="0" collapsed="false">
      <c r="A20" s="7" t="s">
        <v>45</v>
      </c>
      <c r="B20" s="7" t="s">
        <v>51</v>
      </c>
      <c r="C20" s="9" t="n">
        <v>1215</v>
      </c>
      <c r="D20" s="9" t="n">
        <v>1359</v>
      </c>
      <c r="E20" s="9" t="n">
        <v>576</v>
      </c>
      <c r="F20" s="9" t="n">
        <v>48</v>
      </c>
      <c r="G20" s="9" t="n">
        <v>192</v>
      </c>
      <c r="H20" s="9" t="n">
        <v>192</v>
      </c>
      <c r="I20" s="9" t="n">
        <v>0</v>
      </c>
      <c r="J20" s="9" t="n">
        <v>384</v>
      </c>
      <c r="K20" s="9" t="n">
        <f aca="false">SUM(C20:J20)</f>
        <v>3966</v>
      </c>
    </row>
    <row r="21" customFormat="false" ht="15" hidden="false" customHeight="false" outlineLevel="0" collapsed="false">
      <c r="A21" s="7" t="s">
        <v>46</v>
      </c>
      <c r="B21" s="7" t="s">
        <v>51</v>
      </c>
      <c r="C21" s="9" t="n">
        <v>0</v>
      </c>
      <c r="D21" s="9" t="n">
        <v>1349</v>
      </c>
      <c r="E21" s="9" t="n">
        <v>0</v>
      </c>
      <c r="F21" s="9" t="n">
        <v>1829</v>
      </c>
      <c r="G21" s="9" t="n">
        <v>0</v>
      </c>
      <c r="H21" s="9" t="n">
        <v>0</v>
      </c>
      <c r="I21" s="9" t="n">
        <v>96</v>
      </c>
      <c r="J21" s="9" t="n">
        <v>672</v>
      </c>
      <c r="K21" s="9" t="n">
        <f aca="false">SUM(C21:J21)</f>
        <v>3946</v>
      </c>
    </row>
    <row r="22" customFormat="false" ht="15" hidden="false" customHeight="false" outlineLevel="0" collapsed="false">
      <c r="A22" s="7" t="s">
        <v>47</v>
      </c>
      <c r="B22" s="7" t="s">
        <v>51</v>
      </c>
      <c r="C22" s="9" t="n">
        <v>0</v>
      </c>
      <c r="D22" s="9" t="n">
        <v>480</v>
      </c>
      <c r="E22" s="9" t="n">
        <v>96</v>
      </c>
      <c r="F22" s="9" t="n">
        <v>629</v>
      </c>
      <c r="G22" s="9" t="n">
        <v>576</v>
      </c>
      <c r="H22" s="9" t="n">
        <v>293</v>
      </c>
      <c r="I22" s="9" t="n">
        <v>0</v>
      </c>
      <c r="J22" s="9" t="n">
        <v>1877</v>
      </c>
      <c r="K22" s="9" t="n">
        <f aca="false">SUM(C22:J22)</f>
        <v>3951</v>
      </c>
    </row>
    <row r="23" customFormat="false" ht="15" hidden="false" customHeight="false" outlineLevel="0" collapsed="false">
      <c r="A23" s="7" t="s">
        <v>48</v>
      </c>
      <c r="B23" s="7" t="s">
        <v>51</v>
      </c>
      <c r="C23" s="9" t="n">
        <v>1920</v>
      </c>
      <c r="D23" s="9" t="n">
        <v>778</v>
      </c>
      <c r="E23" s="9" t="n">
        <v>144</v>
      </c>
      <c r="F23" s="9" t="n">
        <v>677</v>
      </c>
      <c r="G23" s="9" t="n">
        <v>0</v>
      </c>
      <c r="H23" s="9" t="n">
        <v>0</v>
      </c>
      <c r="I23" s="9" t="n">
        <v>96</v>
      </c>
      <c r="J23" s="9" t="n">
        <v>336</v>
      </c>
      <c r="K23" s="9" t="n">
        <f aca="false">SUM(C23:J23)</f>
        <v>3951</v>
      </c>
    </row>
    <row r="24" customFormat="false" ht="15" hidden="false" customHeight="false" outlineLevel="0" collapsed="false">
      <c r="A24" s="7" t="s">
        <v>43</v>
      </c>
      <c r="B24" s="7" t="s">
        <v>52</v>
      </c>
      <c r="C24" s="9" t="n">
        <v>528</v>
      </c>
      <c r="D24" s="9" t="n">
        <v>1685</v>
      </c>
      <c r="E24" s="9" t="n">
        <v>96</v>
      </c>
      <c r="F24" s="9" t="n">
        <v>773</v>
      </c>
      <c r="G24" s="9" t="n">
        <v>480</v>
      </c>
      <c r="H24" s="9" t="n">
        <v>0</v>
      </c>
      <c r="I24" s="9" t="n">
        <v>0</v>
      </c>
      <c r="J24" s="9" t="n">
        <v>384</v>
      </c>
      <c r="K24" s="9" t="n">
        <f aca="false">SUM(C24:J24)</f>
        <v>3946</v>
      </c>
    </row>
    <row r="25" customFormat="false" ht="15" hidden="false" customHeight="false" outlineLevel="0" collapsed="false">
      <c r="A25" s="7" t="s">
        <v>45</v>
      </c>
      <c r="B25" s="7" t="s">
        <v>52</v>
      </c>
      <c r="C25" s="9" t="n">
        <v>2190</v>
      </c>
      <c r="D25" s="9" t="n">
        <v>1695</v>
      </c>
      <c r="E25" s="9" t="n">
        <v>0</v>
      </c>
      <c r="F25" s="9" t="n">
        <v>96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f aca="false">SUM(C25:J25)</f>
        <v>3981</v>
      </c>
    </row>
    <row r="26" customFormat="false" ht="15" hidden="false" customHeight="false" outlineLevel="0" collapsed="false">
      <c r="A26" s="7" t="s">
        <v>46</v>
      </c>
      <c r="B26" s="7" t="s">
        <v>52</v>
      </c>
      <c r="C26" s="9" t="n">
        <v>1306</v>
      </c>
      <c r="D26" s="9" t="n">
        <v>2003</v>
      </c>
      <c r="E26" s="9" t="n">
        <v>149</v>
      </c>
      <c r="F26" s="9" t="n">
        <v>394</v>
      </c>
      <c r="G26" s="9" t="n">
        <v>48</v>
      </c>
      <c r="H26" s="9" t="n">
        <v>0</v>
      </c>
      <c r="I26" s="9" t="n">
        <v>0</v>
      </c>
      <c r="J26" s="9" t="n">
        <v>96</v>
      </c>
      <c r="K26" s="9" t="n">
        <f aca="false">SUM(C26:J26)</f>
        <v>3996</v>
      </c>
    </row>
    <row r="27" customFormat="false" ht="15" hidden="false" customHeight="false" outlineLevel="0" collapsed="false">
      <c r="A27" s="7" t="s">
        <v>47</v>
      </c>
      <c r="B27" s="7" t="s">
        <v>52</v>
      </c>
      <c r="C27" s="9" t="n">
        <v>0</v>
      </c>
      <c r="D27" s="9" t="n">
        <v>1776</v>
      </c>
      <c r="E27" s="9" t="n">
        <v>48</v>
      </c>
      <c r="F27" s="9" t="n">
        <v>1690</v>
      </c>
      <c r="G27" s="9" t="n">
        <v>0</v>
      </c>
      <c r="H27" s="9" t="n">
        <v>0</v>
      </c>
      <c r="I27" s="9" t="n">
        <v>0</v>
      </c>
      <c r="J27" s="9" t="n">
        <v>437</v>
      </c>
      <c r="K27" s="9" t="n">
        <f aca="false">SUM(C27:J27)</f>
        <v>3951</v>
      </c>
    </row>
    <row r="28" customFormat="false" ht="15" hidden="false" customHeight="false" outlineLevel="0" collapsed="false">
      <c r="A28" s="7" t="s">
        <v>48</v>
      </c>
      <c r="B28" s="7" t="s">
        <v>52</v>
      </c>
      <c r="C28" s="9" t="n">
        <v>1344</v>
      </c>
      <c r="D28" s="9" t="n">
        <v>1354</v>
      </c>
      <c r="E28" s="9" t="n">
        <v>48</v>
      </c>
      <c r="F28" s="9" t="n">
        <v>773</v>
      </c>
      <c r="G28" s="9" t="n">
        <v>144</v>
      </c>
      <c r="H28" s="9" t="n">
        <v>0</v>
      </c>
      <c r="I28" s="9" t="n">
        <v>0</v>
      </c>
      <c r="J28" s="9" t="n">
        <v>288</v>
      </c>
      <c r="K28" s="9" t="n">
        <f aca="false">SUM(C28:J28)</f>
        <v>3951</v>
      </c>
    </row>
    <row r="29" customFormat="false" ht="15" hidden="false" customHeight="false" outlineLevel="0" collapsed="false">
      <c r="A29" s="7" t="s">
        <v>43</v>
      </c>
      <c r="B29" s="7" t="s">
        <v>53</v>
      </c>
      <c r="C29" s="9" t="n">
        <v>1056</v>
      </c>
      <c r="D29" s="9" t="n">
        <v>1738</v>
      </c>
      <c r="E29" s="9" t="n">
        <v>192</v>
      </c>
      <c r="F29" s="9" t="n">
        <v>288</v>
      </c>
      <c r="G29" s="9" t="n">
        <v>480</v>
      </c>
      <c r="H29" s="9" t="n">
        <v>0</v>
      </c>
      <c r="I29" s="9" t="n">
        <v>0</v>
      </c>
      <c r="J29" s="9" t="n">
        <v>192</v>
      </c>
      <c r="K29" s="9" t="n">
        <f aca="false">SUM(C29:J29)</f>
        <v>3946</v>
      </c>
    </row>
    <row r="30" customFormat="false" ht="15" hidden="false" customHeight="false" outlineLevel="0" collapsed="false">
      <c r="A30" s="7" t="s">
        <v>45</v>
      </c>
      <c r="B30" s="7" t="s">
        <v>53</v>
      </c>
      <c r="C30" s="9" t="n">
        <v>1402</v>
      </c>
      <c r="D30" s="9" t="n">
        <v>970</v>
      </c>
      <c r="E30" s="9" t="n">
        <v>634</v>
      </c>
      <c r="F30" s="9" t="n">
        <v>197</v>
      </c>
      <c r="G30" s="9" t="n">
        <v>432</v>
      </c>
      <c r="H30" s="9" t="n">
        <v>48</v>
      </c>
      <c r="I30" s="9" t="n">
        <v>48</v>
      </c>
      <c r="J30" s="9" t="n">
        <v>245</v>
      </c>
      <c r="K30" s="9" t="n">
        <f aca="false">SUM(C30:J30)</f>
        <v>3976</v>
      </c>
    </row>
    <row r="31" customFormat="false" ht="15" hidden="false" customHeight="false" outlineLevel="0" collapsed="false">
      <c r="A31" s="7" t="s">
        <v>46</v>
      </c>
      <c r="B31" s="7" t="s">
        <v>53</v>
      </c>
      <c r="C31" s="9" t="n">
        <v>2900</v>
      </c>
      <c r="D31" s="9" t="n">
        <v>485</v>
      </c>
      <c r="E31" s="9" t="n">
        <v>336</v>
      </c>
      <c r="F31" s="9" t="n">
        <v>240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f aca="false">SUM(C31:J31)</f>
        <v>3961</v>
      </c>
    </row>
    <row r="32" customFormat="false" ht="15" hidden="false" customHeight="false" outlineLevel="0" collapsed="false">
      <c r="A32" s="7" t="s">
        <v>47</v>
      </c>
      <c r="B32" s="7" t="s">
        <v>53</v>
      </c>
      <c r="C32" s="9" t="n">
        <v>960</v>
      </c>
      <c r="D32" s="9" t="n">
        <v>2549</v>
      </c>
      <c r="E32" s="9" t="n">
        <v>48</v>
      </c>
      <c r="F32" s="9" t="n">
        <v>240</v>
      </c>
      <c r="G32" s="9" t="n">
        <v>48</v>
      </c>
      <c r="H32" s="9" t="n">
        <v>0</v>
      </c>
      <c r="I32" s="9" t="n">
        <v>0</v>
      </c>
      <c r="J32" s="9" t="n">
        <v>106</v>
      </c>
      <c r="K32" s="9" t="n">
        <f aca="false">SUM(C32:J32)</f>
        <v>3951</v>
      </c>
    </row>
    <row r="33" customFormat="false" ht="15" hidden="false" customHeight="false" outlineLevel="0" collapsed="false">
      <c r="A33" s="7" t="s">
        <v>48</v>
      </c>
      <c r="B33" s="7" t="s">
        <v>53</v>
      </c>
      <c r="C33" s="9" t="n">
        <v>2064</v>
      </c>
      <c r="D33" s="9" t="n">
        <v>1407</v>
      </c>
      <c r="E33" s="9" t="n">
        <v>48</v>
      </c>
      <c r="F33" s="9" t="n">
        <v>144</v>
      </c>
      <c r="G33" s="9" t="n">
        <v>192</v>
      </c>
      <c r="H33" s="9" t="n">
        <v>0</v>
      </c>
      <c r="I33" s="9" t="n">
        <v>0</v>
      </c>
      <c r="J33" s="9" t="n">
        <v>96</v>
      </c>
      <c r="K33" s="9" t="n">
        <f aca="false">SUM(C33:J33)</f>
        <v>3951</v>
      </c>
    </row>
    <row r="34" customFormat="false" ht="15" hidden="false" customHeight="false" outlineLevel="0" collapsed="false">
      <c r="A34" s="7" t="s">
        <v>43</v>
      </c>
      <c r="B34" s="7" t="s">
        <v>54</v>
      </c>
      <c r="C34" s="9" t="n">
        <v>0</v>
      </c>
      <c r="D34" s="9" t="n">
        <v>3082</v>
      </c>
      <c r="E34" s="9" t="n">
        <v>96</v>
      </c>
      <c r="F34" s="9" t="n">
        <v>677</v>
      </c>
      <c r="G34" s="9" t="n">
        <v>48</v>
      </c>
      <c r="H34" s="9" t="n">
        <v>0</v>
      </c>
      <c r="I34" s="9" t="n">
        <v>0</v>
      </c>
      <c r="J34" s="9" t="n">
        <v>48</v>
      </c>
      <c r="K34" s="9" t="n">
        <f aca="false">SUM(C34:J34)</f>
        <v>3951</v>
      </c>
    </row>
    <row r="35" customFormat="false" ht="15" hidden="false" customHeight="false" outlineLevel="0" collapsed="false">
      <c r="A35" s="7" t="s">
        <v>45</v>
      </c>
      <c r="B35" s="7" t="s">
        <v>54</v>
      </c>
      <c r="C35" s="9" t="n">
        <v>1551</v>
      </c>
      <c r="D35" s="9" t="n">
        <v>1460</v>
      </c>
      <c r="E35" s="9" t="n">
        <v>341</v>
      </c>
      <c r="F35" s="9" t="n">
        <v>144</v>
      </c>
      <c r="G35" s="9" t="n">
        <v>293</v>
      </c>
      <c r="H35" s="9" t="n">
        <v>48</v>
      </c>
      <c r="I35" s="9" t="n">
        <v>48</v>
      </c>
      <c r="J35" s="9" t="n">
        <v>101</v>
      </c>
      <c r="K35" s="9" t="n">
        <f aca="false">SUM(C35:J35)</f>
        <v>3986</v>
      </c>
    </row>
    <row r="36" customFormat="false" ht="15" hidden="false" customHeight="false" outlineLevel="0" collapsed="false">
      <c r="A36" s="7" t="s">
        <v>46</v>
      </c>
      <c r="B36" s="7" t="s">
        <v>54</v>
      </c>
      <c r="C36" s="9" t="n">
        <v>1253</v>
      </c>
      <c r="D36" s="9" t="n">
        <v>1296</v>
      </c>
      <c r="E36" s="9" t="n">
        <v>144</v>
      </c>
      <c r="F36" s="9" t="n">
        <v>624</v>
      </c>
      <c r="G36" s="9" t="n">
        <v>288</v>
      </c>
      <c r="H36" s="9" t="n">
        <v>0</v>
      </c>
      <c r="I36" s="9" t="n">
        <v>0</v>
      </c>
      <c r="J36" s="9" t="n">
        <v>336</v>
      </c>
      <c r="K36" s="9" t="n">
        <f aca="false">SUM(C36:J36)</f>
        <v>3941</v>
      </c>
    </row>
    <row r="37" customFormat="false" ht="15" hidden="false" customHeight="false" outlineLevel="0" collapsed="false">
      <c r="A37" s="7" t="s">
        <v>47</v>
      </c>
      <c r="B37" s="7" t="s">
        <v>54</v>
      </c>
      <c r="C37" s="9" t="n">
        <v>336</v>
      </c>
      <c r="D37" s="9" t="n">
        <v>917</v>
      </c>
      <c r="E37" s="9" t="n">
        <v>96</v>
      </c>
      <c r="F37" s="9" t="n">
        <v>1200</v>
      </c>
      <c r="G37" s="9" t="n">
        <v>197</v>
      </c>
      <c r="H37" s="9" t="n">
        <v>48</v>
      </c>
      <c r="I37" s="9" t="n">
        <v>48</v>
      </c>
      <c r="J37" s="9" t="n">
        <v>1104</v>
      </c>
      <c r="K37" s="9" t="n">
        <f aca="false">SUM(C37:J37)</f>
        <v>3946</v>
      </c>
    </row>
    <row r="38" customFormat="false" ht="15" hidden="false" customHeight="false" outlineLevel="0" collapsed="false">
      <c r="A38" s="7" t="s">
        <v>48</v>
      </c>
      <c r="B38" s="7" t="s">
        <v>54</v>
      </c>
      <c r="C38" s="9" t="n">
        <v>442</v>
      </c>
      <c r="D38" s="9" t="n">
        <v>1167</v>
      </c>
      <c r="E38" s="9" t="n">
        <v>1114</v>
      </c>
      <c r="F38" s="9" t="n">
        <v>528</v>
      </c>
      <c r="G38" s="9" t="n">
        <v>288</v>
      </c>
      <c r="H38" s="9" t="n">
        <v>48</v>
      </c>
      <c r="I38" s="9" t="n">
        <v>0</v>
      </c>
      <c r="J38" s="9" t="n">
        <v>384</v>
      </c>
      <c r="K38" s="9" t="n">
        <f aca="false">SUM(C38:J38)</f>
        <v>3971</v>
      </c>
    </row>
    <row r="39" customFormat="false" ht="15" hidden="false" customHeight="false" outlineLevel="0" collapsed="false">
      <c r="A39" s="7" t="s">
        <v>43</v>
      </c>
      <c r="B39" s="7" t="s">
        <v>55</v>
      </c>
      <c r="C39" s="9" t="n">
        <v>2324</v>
      </c>
      <c r="D39" s="9" t="n">
        <v>864</v>
      </c>
      <c r="E39" s="9" t="n">
        <v>384</v>
      </c>
      <c r="F39" s="9" t="n">
        <v>48</v>
      </c>
      <c r="G39" s="9" t="n">
        <v>288</v>
      </c>
      <c r="H39" s="9" t="n">
        <v>0</v>
      </c>
      <c r="I39" s="9" t="n">
        <v>0</v>
      </c>
      <c r="J39" s="9" t="n">
        <v>53</v>
      </c>
      <c r="K39" s="9" t="n">
        <f aca="false">SUM(C39:J39)</f>
        <v>3961</v>
      </c>
    </row>
    <row r="40" customFormat="false" ht="15" hidden="false" customHeight="false" outlineLevel="0" collapsed="false">
      <c r="A40" s="7" t="s">
        <v>45</v>
      </c>
      <c r="B40" s="7" t="s">
        <v>55</v>
      </c>
      <c r="C40" s="9" t="n">
        <v>1978</v>
      </c>
      <c r="D40" s="9" t="n">
        <v>1008</v>
      </c>
      <c r="E40" s="9" t="n">
        <v>240</v>
      </c>
      <c r="F40" s="9" t="n">
        <v>96</v>
      </c>
      <c r="G40" s="9" t="n">
        <v>293</v>
      </c>
      <c r="H40" s="9" t="n">
        <v>0</v>
      </c>
      <c r="I40" s="9" t="n">
        <v>0</v>
      </c>
      <c r="J40" s="9" t="n">
        <v>336</v>
      </c>
      <c r="K40" s="9" t="n">
        <f aca="false">SUM(C40:J40)</f>
        <v>3951</v>
      </c>
    </row>
    <row r="41" customFormat="false" ht="15" hidden="false" customHeight="false" outlineLevel="0" collapsed="false">
      <c r="A41" s="7" t="s">
        <v>46</v>
      </c>
      <c r="B41" s="7" t="s">
        <v>55</v>
      </c>
      <c r="C41" s="9" t="n">
        <v>2309</v>
      </c>
      <c r="D41" s="9" t="n">
        <v>1104</v>
      </c>
      <c r="E41" s="9" t="n">
        <v>192</v>
      </c>
      <c r="F41" s="9" t="n">
        <v>48</v>
      </c>
      <c r="G41" s="9" t="n">
        <v>240</v>
      </c>
      <c r="H41" s="9" t="n">
        <v>0</v>
      </c>
      <c r="I41" s="9" t="n">
        <v>0</v>
      </c>
      <c r="J41" s="9" t="n">
        <v>48</v>
      </c>
      <c r="K41" s="9" t="n">
        <f aca="false">SUM(C41:J41)</f>
        <v>3941</v>
      </c>
    </row>
    <row r="42" customFormat="false" ht="15" hidden="false" customHeight="false" outlineLevel="0" collapsed="false">
      <c r="A42" s="7" t="s">
        <v>47</v>
      </c>
      <c r="B42" s="7" t="s">
        <v>55</v>
      </c>
      <c r="C42" s="9" t="n">
        <v>1124</v>
      </c>
      <c r="D42" s="9" t="n">
        <v>1925</v>
      </c>
      <c r="E42" s="9" t="n">
        <v>240</v>
      </c>
      <c r="F42" s="9" t="n">
        <v>144</v>
      </c>
      <c r="G42" s="9" t="n">
        <v>250</v>
      </c>
      <c r="H42" s="9" t="n">
        <v>0</v>
      </c>
      <c r="I42" s="9" t="n">
        <v>192</v>
      </c>
      <c r="J42" s="9" t="n">
        <v>96</v>
      </c>
      <c r="K42" s="9" t="n">
        <f aca="false">SUM(C42:J42)</f>
        <v>3971</v>
      </c>
    </row>
    <row r="43" customFormat="false" ht="15" hidden="false" customHeight="false" outlineLevel="0" collapsed="false">
      <c r="A43" s="7" t="s">
        <v>48</v>
      </c>
      <c r="B43" s="7" t="s">
        <v>55</v>
      </c>
      <c r="C43" s="9" t="n">
        <v>1268</v>
      </c>
      <c r="D43" s="9" t="n">
        <v>831</v>
      </c>
      <c r="E43" s="9" t="n">
        <v>581</v>
      </c>
      <c r="F43" s="9" t="n">
        <v>245</v>
      </c>
      <c r="G43" s="9" t="n">
        <v>384</v>
      </c>
      <c r="H43" s="9" t="n">
        <v>48</v>
      </c>
      <c r="I43" s="9" t="n">
        <v>96</v>
      </c>
      <c r="J43" s="9" t="n">
        <v>533</v>
      </c>
      <c r="K43" s="9" t="n">
        <f aca="false">SUM(C43:J43)</f>
        <v>3986</v>
      </c>
    </row>
    <row r="44" customFormat="false" ht="15" hidden="false" customHeight="false" outlineLevel="0" collapsed="false">
      <c r="A44" s="7" t="s">
        <v>43</v>
      </c>
      <c r="B44" s="7" t="s">
        <v>56</v>
      </c>
      <c r="C44" s="9" t="n">
        <v>1503</v>
      </c>
      <c r="D44" s="9" t="n">
        <v>1680</v>
      </c>
      <c r="E44" s="9" t="n">
        <v>336</v>
      </c>
      <c r="F44" s="9" t="n">
        <v>144</v>
      </c>
      <c r="G44" s="9" t="n">
        <v>0</v>
      </c>
      <c r="H44" s="9" t="n">
        <v>0</v>
      </c>
      <c r="I44" s="9" t="n">
        <v>96</v>
      </c>
      <c r="J44" s="9" t="n">
        <v>197</v>
      </c>
      <c r="K44" s="9" t="n">
        <f aca="false">SUM(C44:J44)</f>
        <v>3956</v>
      </c>
    </row>
    <row r="45" customFormat="false" ht="15" hidden="false" customHeight="false" outlineLevel="0" collapsed="false">
      <c r="A45" s="7" t="s">
        <v>45</v>
      </c>
      <c r="B45" s="7" t="s">
        <v>56</v>
      </c>
      <c r="C45" s="9" t="n">
        <v>240</v>
      </c>
      <c r="D45" s="9" t="n">
        <v>2137</v>
      </c>
      <c r="E45" s="9" t="n">
        <v>144</v>
      </c>
      <c r="F45" s="9" t="n">
        <v>672</v>
      </c>
      <c r="G45" s="9" t="n">
        <v>240</v>
      </c>
      <c r="H45" s="9" t="n">
        <v>0</v>
      </c>
      <c r="I45" s="9" t="n">
        <v>96</v>
      </c>
      <c r="J45" s="9" t="n">
        <v>432</v>
      </c>
      <c r="K45" s="9" t="n">
        <f aca="false">SUM(C45:J45)</f>
        <v>3961</v>
      </c>
    </row>
    <row r="46" customFormat="false" ht="15" hidden="false" customHeight="false" outlineLevel="0" collapsed="false">
      <c r="A46" s="7" t="s">
        <v>46</v>
      </c>
      <c r="B46" s="7" t="s">
        <v>56</v>
      </c>
      <c r="C46" s="9" t="n">
        <v>1296</v>
      </c>
      <c r="D46" s="9" t="n">
        <v>725</v>
      </c>
      <c r="E46" s="9" t="n">
        <v>1210</v>
      </c>
      <c r="F46" s="9" t="n">
        <v>0</v>
      </c>
      <c r="G46" s="9" t="n">
        <v>0</v>
      </c>
      <c r="H46" s="9" t="n">
        <v>144</v>
      </c>
      <c r="I46" s="9" t="n">
        <v>48</v>
      </c>
      <c r="J46" s="9" t="n">
        <v>528</v>
      </c>
      <c r="K46" s="9" t="n">
        <f aca="false">SUM(C46:J46)</f>
        <v>3951</v>
      </c>
    </row>
    <row r="47" customFormat="false" ht="15" hidden="false" customHeight="false" outlineLevel="0" collapsed="false">
      <c r="A47" s="7" t="s">
        <v>47</v>
      </c>
      <c r="B47" s="7" t="s">
        <v>56</v>
      </c>
      <c r="C47" s="9" t="n">
        <v>2650</v>
      </c>
      <c r="D47" s="9" t="n">
        <v>917</v>
      </c>
      <c r="E47" s="9" t="n">
        <v>48</v>
      </c>
      <c r="F47" s="9" t="n">
        <v>293</v>
      </c>
      <c r="G47" s="9" t="n">
        <v>53</v>
      </c>
      <c r="H47" s="9" t="n">
        <v>0</v>
      </c>
      <c r="I47" s="9" t="n">
        <v>0</v>
      </c>
      <c r="J47" s="9" t="n">
        <v>0</v>
      </c>
      <c r="K47" s="9" t="n">
        <f aca="false">SUM(C47:J47)</f>
        <v>3961</v>
      </c>
    </row>
    <row r="48" customFormat="false" ht="15" hidden="false" customHeight="false" outlineLevel="0" collapsed="false">
      <c r="A48" s="7" t="s">
        <v>48</v>
      </c>
      <c r="B48" s="7" t="s">
        <v>56</v>
      </c>
      <c r="C48" s="9" t="n">
        <v>2026</v>
      </c>
      <c r="D48" s="9" t="n">
        <v>965</v>
      </c>
      <c r="E48" s="9" t="n">
        <v>288</v>
      </c>
      <c r="F48" s="9" t="n">
        <v>101</v>
      </c>
      <c r="G48" s="9" t="n">
        <v>240</v>
      </c>
      <c r="H48" s="9" t="n">
        <v>0</v>
      </c>
      <c r="I48" s="9" t="n">
        <v>0</v>
      </c>
      <c r="J48" s="9" t="n">
        <v>341</v>
      </c>
      <c r="K48" s="9" t="n">
        <f aca="false">SUM(C48:J48)</f>
        <v>3961</v>
      </c>
    </row>
    <row r="49" customFormat="false" ht="15" hidden="false" customHeight="false" outlineLevel="0" collapsed="false">
      <c r="A49" s="7" t="s">
        <v>43</v>
      </c>
      <c r="B49" s="7" t="s">
        <v>57</v>
      </c>
      <c r="C49" s="9" t="n">
        <v>1637</v>
      </c>
      <c r="D49" s="9" t="n">
        <v>1349</v>
      </c>
      <c r="E49" s="9" t="n">
        <v>288</v>
      </c>
      <c r="F49" s="9" t="n">
        <v>384</v>
      </c>
      <c r="G49" s="9" t="n">
        <v>144</v>
      </c>
      <c r="H49" s="9" t="n">
        <v>0</v>
      </c>
      <c r="I49" s="9" t="n">
        <v>0</v>
      </c>
      <c r="J49" s="9" t="n">
        <v>144</v>
      </c>
      <c r="K49" s="9" t="n">
        <f aca="false">SUM(C49:J49)</f>
        <v>3946</v>
      </c>
    </row>
    <row r="50" customFormat="false" ht="15" hidden="false" customHeight="false" outlineLevel="0" collapsed="false">
      <c r="A50" s="7" t="s">
        <v>45</v>
      </c>
      <c r="B50" s="7" t="s">
        <v>57</v>
      </c>
      <c r="C50" s="9" t="n">
        <v>1109</v>
      </c>
      <c r="D50" s="9" t="n">
        <v>1311</v>
      </c>
      <c r="E50" s="9" t="n">
        <v>0</v>
      </c>
      <c r="F50" s="9" t="n">
        <v>970</v>
      </c>
      <c r="G50" s="9" t="n">
        <v>48</v>
      </c>
      <c r="H50" s="9" t="n">
        <v>0</v>
      </c>
      <c r="I50" s="9" t="n">
        <v>0</v>
      </c>
      <c r="J50" s="9" t="n">
        <v>528</v>
      </c>
      <c r="K50" s="9" t="n">
        <f aca="false">SUM(C50:J50)</f>
        <v>3966</v>
      </c>
    </row>
    <row r="51" customFormat="false" ht="15" hidden="false" customHeight="false" outlineLevel="0" collapsed="false">
      <c r="A51" s="7" t="s">
        <v>46</v>
      </c>
      <c r="B51" s="7" t="s">
        <v>57</v>
      </c>
      <c r="C51" s="9" t="n">
        <v>399</v>
      </c>
      <c r="D51" s="9" t="n">
        <v>1685</v>
      </c>
      <c r="E51" s="9" t="n">
        <v>0</v>
      </c>
      <c r="F51" s="9" t="n">
        <v>1354</v>
      </c>
      <c r="G51" s="9" t="n">
        <v>384</v>
      </c>
      <c r="H51" s="9" t="n">
        <v>0</v>
      </c>
      <c r="I51" s="9" t="n">
        <v>0</v>
      </c>
      <c r="J51" s="9" t="n">
        <v>144</v>
      </c>
      <c r="K51" s="9" t="n">
        <f aca="false">SUM(C51:J51)</f>
        <v>3966</v>
      </c>
    </row>
    <row r="52" customFormat="false" ht="15" hidden="false" customHeight="false" outlineLevel="0" collapsed="false">
      <c r="A52" s="7" t="s">
        <v>47</v>
      </c>
      <c r="B52" s="7" t="s">
        <v>57</v>
      </c>
      <c r="C52" s="9" t="n">
        <v>0</v>
      </c>
      <c r="D52" s="9" t="n">
        <v>48</v>
      </c>
      <c r="E52" s="9" t="n">
        <v>384</v>
      </c>
      <c r="F52" s="9" t="n">
        <v>965</v>
      </c>
      <c r="G52" s="9" t="n">
        <v>1008</v>
      </c>
      <c r="H52" s="9" t="n">
        <v>384</v>
      </c>
      <c r="I52" s="9" t="n">
        <v>0</v>
      </c>
      <c r="J52" s="9" t="n">
        <v>1157</v>
      </c>
      <c r="K52" s="9" t="n">
        <f aca="false">SUM(C52:J52)</f>
        <v>3946</v>
      </c>
    </row>
    <row r="53" customFormat="false" ht="15" hidden="false" customHeight="false" outlineLevel="0" collapsed="false">
      <c r="A53" s="7" t="s">
        <v>48</v>
      </c>
      <c r="B53" s="7" t="s">
        <v>57</v>
      </c>
      <c r="C53" s="9" t="n">
        <v>0</v>
      </c>
      <c r="D53" s="9" t="n">
        <v>1013</v>
      </c>
      <c r="E53" s="9" t="n">
        <v>0</v>
      </c>
      <c r="F53" s="9" t="n">
        <v>581</v>
      </c>
      <c r="G53" s="9" t="n">
        <v>485</v>
      </c>
      <c r="H53" s="9" t="n">
        <v>0</v>
      </c>
      <c r="I53" s="9" t="n">
        <v>0</v>
      </c>
      <c r="J53" s="9" t="n">
        <v>1882</v>
      </c>
      <c r="K53" s="9" t="n">
        <f aca="false">SUM(C53:J53)</f>
        <v>3961</v>
      </c>
    </row>
    <row r="54" customFormat="false" ht="15" hidden="false" customHeight="false" outlineLevel="0" collapsed="false">
      <c r="A54" s="7" t="s">
        <v>43</v>
      </c>
      <c r="B54" s="7" t="s">
        <v>58</v>
      </c>
      <c r="C54" s="9" t="n">
        <v>960</v>
      </c>
      <c r="D54" s="9" t="n">
        <v>336</v>
      </c>
      <c r="E54" s="9" t="n">
        <v>1450</v>
      </c>
      <c r="F54" s="9" t="n">
        <v>149</v>
      </c>
      <c r="G54" s="9" t="n">
        <v>624</v>
      </c>
      <c r="H54" s="9" t="n">
        <v>240</v>
      </c>
      <c r="I54" s="9" t="n">
        <v>0</v>
      </c>
      <c r="J54" s="9" t="n">
        <v>192</v>
      </c>
      <c r="K54" s="9" t="n">
        <f aca="false">SUM(C54:J54)</f>
        <v>3951</v>
      </c>
    </row>
    <row r="55" customFormat="false" ht="15" hidden="false" customHeight="false" outlineLevel="0" collapsed="false">
      <c r="A55" s="7" t="s">
        <v>45</v>
      </c>
      <c r="B55" s="7" t="s">
        <v>58</v>
      </c>
      <c r="C55" s="9" t="n">
        <v>2746</v>
      </c>
      <c r="D55" s="9" t="n">
        <v>480</v>
      </c>
      <c r="E55" s="9" t="n">
        <v>581</v>
      </c>
      <c r="F55" s="9" t="n">
        <v>0</v>
      </c>
      <c r="G55" s="9" t="n">
        <v>144</v>
      </c>
      <c r="H55" s="9" t="n">
        <v>0</v>
      </c>
      <c r="I55" s="9" t="n">
        <v>0</v>
      </c>
      <c r="J55" s="9" t="n">
        <v>0</v>
      </c>
      <c r="K55" s="9" t="n">
        <f aca="false">SUM(C55:J55)</f>
        <v>3951</v>
      </c>
    </row>
    <row r="56" customFormat="false" ht="15" hidden="false" customHeight="false" outlineLevel="0" collapsed="false">
      <c r="A56" s="7" t="s">
        <v>46</v>
      </c>
      <c r="B56" s="7" t="s">
        <v>58</v>
      </c>
      <c r="C56" s="9" t="n">
        <v>2175</v>
      </c>
      <c r="D56" s="9" t="n">
        <v>1508</v>
      </c>
      <c r="E56" s="9" t="n">
        <v>0</v>
      </c>
      <c r="F56" s="9" t="n">
        <v>96</v>
      </c>
      <c r="G56" s="9" t="n">
        <v>144</v>
      </c>
      <c r="H56" s="9" t="n">
        <v>0</v>
      </c>
      <c r="I56" s="9" t="n">
        <v>0</v>
      </c>
      <c r="J56" s="9" t="n">
        <v>48</v>
      </c>
      <c r="K56" s="9" t="n">
        <f aca="false">SUM(C56:J56)</f>
        <v>3971</v>
      </c>
    </row>
    <row r="57" customFormat="false" ht="15" hidden="false" customHeight="false" outlineLevel="0" collapsed="false">
      <c r="A57" s="7" t="s">
        <v>47</v>
      </c>
      <c r="B57" s="7" t="s">
        <v>58</v>
      </c>
      <c r="C57" s="9" t="n">
        <v>2655</v>
      </c>
      <c r="D57" s="9" t="n">
        <v>821</v>
      </c>
      <c r="E57" s="9" t="n">
        <v>288</v>
      </c>
      <c r="F57" s="9" t="n">
        <v>0</v>
      </c>
      <c r="G57" s="9" t="n">
        <v>48</v>
      </c>
      <c r="H57" s="9" t="n">
        <v>0</v>
      </c>
      <c r="I57" s="9" t="n">
        <v>0</v>
      </c>
      <c r="J57" s="9" t="n">
        <v>144</v>
      </c>
      <c r="K57" s="9" t="n">
        <f aca="false">SUM(C57:J57)</f>
        <v>3956</v>
      </c>
    </row>
    <row r="58" customFormat="false" ht="15" hidden="false" customHeight="false" outlineLevel="0" collapsed="false">
      <c r="A58" s="7" t="s">
        <v>48</v>
      </c>
      <c r="B58" s="7" t="s">
        <v>58</v>
      </c>
      <c r="C58" s="9" t="n">
        <v>0</v>
      </c>
      <c r="D58" s="9" t="n">
        <v>3021</v>
      </c>
      <c r="E58" s="9" t="n">
        <v>48</v>
      </c>
      <c r="F58" s="9" t="n">
        <v>816</v>
      </c>
      <c r="G58" s="9" t="n">
        <v>48</v>
      </c>
      <c r="H58" s="9" t="n">
        <v>0</v>
      </c>
      <c r="I58" s="9" t="n">
        <v>0</v>
      </c>
      <c r="J58" s="9" t="n">
        <v>48</v>
      </c>
      <c r="K58" s="9" t="n">
        <f aca="false">SUM(C58:J58)</f>
        <v>3981</v>
      </c>
    </row>
    <row r="59" customFormat="false" ht="15" hidden="false" customHeight="false" outlineLevel="0" collapsed="false">
      <c r="A59" s="7" t="s">
        <v>43</v>
      </c>
      <c r="B59" s="7" t="s">
        <v>59</v>
      </c>
      <c r="C59" s="9" t="n">
        <v>96</v>
      </c>
      <c r="D59" s="9" t="n">
        <v>389</v>
      </c>
      <c r="E59" s="9" t="n">
        <v>1311</v>
      </c>
      <c r="F59" s="9" t="n">
        <v>144</v>
      </c>
      <c r="G59" s="9" t="n">
        <v>528</v>
      </c>
      <c r="H59" s="9" t="n">
        <v>245</v>
      </c>
      <c r="I59" s="9" t="n">
        <v>0</v>
      </c>
      <c r="J59" s="9" t="n">
        <v>1263</v>
      </c>
      <c r="K59" s="9" t="n">
        <f aca="false">SUM(C59:J59)</f>
        <v>3976</v>
      </c>
    </row>
    <row r="60" customFormat="false" ht="15" hidden="false" customHeight="false" outlineLevel="0" collapsed="false">
      <c r="A60" s="7" t="s">
        <v>45</v>
      </c>
      <c r="B60" s="7" t="s">
        <v>59</v>
      </c>
      <c r="C60" s="9" t="n">
        <v>1119</v>
      </c>
      <c r="D60" s="9" t="n">
        <v>1440</v>
      </c>
      <c r="E60" s="9" t="n">
        <v>144</v>
      </c>
      <c r="F60" s="9" t="n">
        <v>336</v>
      </c>
      <c r="G60" s="9" t="n">
        <v>384</v>
      </c>
      <c r="H60" s="9" t="n">
        <v>0</v>
      </c>
      <c r="I60" s="9" t="n">
        <v>0</v>
      </c>
      <c r="J60" s="9" t="n">
        <v>528</v>
      </c>
      <c r="K60" s="9" t="n">
        <f aca="false">SUM(C60:J60)</f>
        <v>3951</v>
      </c>
    </row>
    <row r="61" customFormat="false" ht="15" hidden="false" customHeight="false" outlineLevel="0" collapsed="false">
      <c r="A61" s="7" t="s">
        <v>46</v>
      </c>
      <c r="B61" s="7" t="s">
        <v>59</v>
      </c>
      <c r="C61" s="9" t="n">
        <v>1205</v>
      </c>
      <c r="D61" s="9" t="n">
        <v>1008</v>
      </c>
      <c r="E61" s="9" t="n">
        <v>96</v>
      </c>
      <c r="F61" s="9" t="n">
        <v>1392</v>
      </c>
      <c r="G61" s="9" t="n">
        <v>0</v>
      </c>
      <c r="H61" s="9" t="n">
        <v>0</v>
      </c>
      <c r="I61" s="9" t="n">
        <v>0</v>
      </c>
      <c r="J61" s="9" t="n">
        <v>240</v>
      </c>
      <c r="K61" s="9" t="n">
        <f aca="false">SUM(C61:J61)</f>
        <v>3941</v>
      </c>
    </row>
    <row r="62" customFormat="false" ht="15" hidden="false" customHeight="false" outlineLevel="0" collapsed="false">
      <c r="A62" s="7" t="s">
        <v>47</v>
      </c>
      <c r="B62" s="7" t="s">
        <v>59</v>
      </c>
      <c r="C62" s="9" t="n">
        <v>2554</v>
      </c>
      <c r="D62" s="9" t="n">
        <v>821</v>
      </c>
      <c r="E62" s="9" t="n">
        <v>389</v>
      </c>
      <c r="F62" s="9" t="n">
        <v>58</v>
      </c>
      <c r="G62" s="9" t="n">
        <v>0</v>
      </c>
      <c r="H62" s="9" t="n">
        <v>0</v>
      </c>
      <c r="I62" s="9" t="n">
        <v>48</v>
      </c>
      <c r="J62" s="9" t="n">
        <v>101</v>
      </c>
      <c r="K62" s="9" t="n">
        <f aca="false">SUM(C62:J62)</f>
        <v>3971</v>
      </c>
    </row>
    <row r="63" customFormat="false" ht="15" hidden="false" customHeight="false" outlineLevel="0" collapsed="false">
      <c r="A63" s="7" t="s">
        <v>48</v>
      </c>
      <c r="B63" s="7" t="s">
        <v>59</v>
      </c>
      <c r="C63" s="9" t="n">
        <v>0</v>
      </c>
      <c r="D63" s="9" t="n">
        <v>922</v>
      </c>
      <c r="E63" s="9" t="n">
        <v>48</v>
      </c>
      <c r="F63" s="9" t="n">
        <v>864</v>
      </c>
      <c r="G63" s="9" t="n">
        <v>581</v>
      </c>
      <c r="H63" s="9" t="n">
        <v>0</v>
      </c>
      <c r="I63" s="9" t="n">
        <v>0</v>
      </c>
      <c r="J63" s="9" t="n">
        <v>1536</v>
      </c>
      <c r="K63" s="9" t="n">
        <f aca="false">SUM(C63:J63)</f>
        <v>3951</v>
      </c>
    </row>
    <row r="64" customFormat="false" ht="15" hidden="false" customHeight="false" outlineLevel="0" collapsed="false">
      <c r="A64" s="7" t="s">
        <v>43</v>
      </c>
      <c r="B64" s="7" t="s">
        <v>60</v>
      </c>
      <c r="C64" s="9" t="n">
        <v>245</v>
      </c>
      <c r="D64" s="9" t="n">
        <v>1541</v>
      </c>
      <c r="E64" s="9" t="n">
        <v>864</v>
      </c>
      <c r="F64" s="9" t="n">
        <v>240</v>
      </c>
      <c r="G64" s="9" t="n">
        <v>384</v>
      </c>
      <c r="H64" s="9" t="n">
        <v>48</v>
      </c>
      <c r="I64" s="9" t="n">
        <v>0</v>
      </c>
      <c r="J64" s="9" t="n">
        <v>634</v>
      </c>
      <c r="K64" s="9" t="n">
        <f aca="false">SUM(C64:J64)</f>
        <v>3956</v>
      </c>
    </row>
    <row r="65" customFormat="false" ht="15" hidden="false" customHeight="false" outlineLevel="0" collapsed="false">
      <c r="A65" s="7" t="s">
        <v>45</v>
      </c>
      <c r="B65" s="7" t="s">
        <v>60</v>
      </c>
      <c r="C65" s="9" t="n">
        <v>864</v>
      </c>
      <c r="D65" s="9" t="n">
        <v>1662</v>
      </c>
      <c r="E65" s="9" t="n">
        <v>0</v>
      </c>
      <c r="F65" s="9" t="n">
        <v>720</v>
      </c>
      <c r="G65" s="9" t="n">
        <v>288</v>
      </c>
      <c r="H65" s="9" t="n">
        <v>0</v>
      </c>
      <c r="I65" s="9" t="n">
        <v>48</v>
      </c>
      <c r="J65" s="9" t="n">
        <v>384</v>
      </c>
      <c r="K65" s="9" t="n">
        <f aca="false">SUM(C65:J65)</f>
        <v>3966</v>
      </c>
    </row>
    <row r="66" customFormat="false" ht="15" hidden="false" customHeight="false" outlineLevel="0" collapsed="false">
      <c r="A66" s="7" t="s">
        <v>46</v>
      </c>
      <c r="B66" s="7" t="s">
        <v>60</v>
      </c>
      <c r="C66" s="9" t="n">
        <v>1920</v>
      </c>
      <c r="D66" s="9" t="n">
        <v>720</v>
      </c>
      <c r="E66" s="9" t="n">
        <v>768</v>
      </c>
      <c r="F66" s="9" t="n">
        <v>48</v>
      </c>
      <c r="G66" s="9" t="n">
        <v>389</v>
      </c>
      <c r="H66" s="9" t="n">
        <v>0</v>
      </c>
      <c r="I66" s="9" t="n">
        <v>0</v>
      </c>
      <c r="J66" s="9" t="n">
        <v>96</v>
      </c>
      <c r="K66" s="9" t="n">
        <f aca="false">SUM(C66:J66)</f>
        <v>3941</v>
      </c>
    </row>
    <row r="67" customFormat="false" ht="15" hidden="false" customHeight="false" outlineLevel="0" collapsed="false">
      <c r="A67" s="7" t="s">
        <v>47</v>
      </c>
      <c r="B67" s="7" t="s">
        <v>60</v>
      </c>
      <c r="C67" s="9" t="n">
        <v>2266</v>
      </c>
      <c r="D67" s="9" t="n">
        <v>1450</v>
      </c>
      <c r="E67" s="9" t="n">
        <v>48</v>
      </c>
      <c r="F67" s="9" t="n">
        <v>144</v>
      </c>
      <c r="G67" s="9" t="n">
        <v>0</v>
      </c>
      <c r="H67" s="9" t="n">
        <v>0</v>
      </c>
      <c r="I67" s="9" t="n">
        <v>0</v>
      </c>
      <c r="J67" s="9" t="n">
        <v>53</v>
      </c>
      <c r="K67" s="9" t="n">
        <f aca="false">SUM(C67:J67)</f>
        <v>3961</v>
      </c>
    </row>
    <row r="68" customFormat="false" ht="15" hidden="false" customHeight="false" outlineLevel="0" collapsed="false">
      <c r="A68" s="7" t="s">
        <v>48</v>
      </c>
      <c r="B68" s="7" t="s">
        <v>60</v>
      </c>
      <c r="C68" s="9" t="n">
        <v>1354</v>
      </c>
      <c r="D68" s="9" t="n">
        <v>1877</v>
      </c>
      <c r="E68" s="9" t="n">
        <v>144</v>
      </c>
      <c r="F68" s="9" t="n">
        <v>533</v>
      </c>
      <c r="G68" s="9" t="n">
        <v>0</v>
      </c>
      <c r="H68" s="9" t="n">
        <v>0</v>
      </c>
      <c r="I68" s="9" t="n">
        <v>0</v>
      </c>
      <c r="J68" s="9" t="n">
        <v>48</v>
      </c>
      <c r="K68" s="9" t="n">
        <f aca="false">SUM(C68:J68)</f>
        <v>3956</v>
      </c>
    </row>
    <row r="69" customFormat="false" ht="15" hidden="false" customHeight="false" outlineLevel="0" collapsed="false">
      <c r="A69" s="7" t="s">
        <v>43</v>
      </c>
      <c r="B69" s="7" t="s">
        <v>61</v>
      </c>
      <c r="C69" s="9" t="n">
        <v>0</v>
      </c>
      <c r="D69" s="9" t="n">
        <v>0</v>
      </c>
      <c r="E69" s="9" t="n">
        <v>0</v>
      </c>
      <c r="F69" s="9" t="n">
        <v>437</v>
      </c>
      <c r="G69" s="9" t="n">
        <v>356</v>
      </c>
      <c r="H69" s="9" t="n">
        <v>240</v>
      </c>
      <c r="I69" s="9" t="n">
        <v>0</v>
      </c>
      <c r="J69" s="9" t="n">
        <v>2963</v>
      </c>
      <c r="K69" s="9" t="n">
        <f aca="false">SUM(C69:J69)</f>
        <v>3996</v>
      </c>
    </row>
    <row r="70" customFormat="false" ht="15" hidden="false" customHeight="false" outlineLevel="0" collapsed="false">
      <c r="A70" s="7" t="s">
        <v>45</v>
      </c>
      <c r="B70" s="7" t="s">
        <v>61</v>
      </c>
      <c r="C70" s="9" t="n">
        <v>389</v>
      </c>
      <c r="D70" s="9" t="n">
        <v>2473</v>
      </c>
      <c r="E70" s="9" t="n">
        <v>144</v>
      </c>
      <c r="F70" s="9" t="n">
        <v>528</v>
      </c>
      <c r="G70" s="9" t="n">
        <v>240</v>
      </c>
      <c r="H70" s="9" t="n">
        <v>106</v>
      </c>
      <c r="I70" s="9" t="n">
        <v>0</v>
      </c>
      <c r="J70" s="9" t="n">
        <v>96</v>
      </c>
      <c r="K70" s="9" t="n">
        <f aca="false">SUM(C70:J70)</f>
        <v>3976</v>
      </c>
    </row>
    <row r="71" customFormat="false" ht="15" hidden="false" customHeight="false" outlineLevel="0" collapsed="false">
      <c r="A71" s="7" t="s">
        <v>46</v>
      </c>
      <c r="B71" s="7" t="s">
        <v>61</v>
      </c>
      <c r="C71" s="9" t="n">
        <v>543</v>
      </c>
      <c r="D71" s="9" t="n">
        <v>2363.1</v>
      </c>
      <c r="E71" s="9" t="n">
        <v>240</v>
      </c>
      <c r="F71" s="9" t="n">
        <v>730</v>
      </c>
      <c r="G71" s="9" t="n">
        <v>96</v>
      </c>
      <c r="H71" s="9" t="n">
        <v>0</v>
      </c>
      <c r="I71" s="9" t="n">
        <v>0</v>
      </c>
      <c r="J71" s="9" t="n">
        <v>0</v>
      </c>
      <c r="K71" s="9" t="n">
        <f aca="false">SUM(C71:J71)</f>
        <v>3972.1</v>
      </c>
    </row>
    <row r="72" customFormat="false" ht="15" hidden="false" customHeight="false" outlineLevel="0" collapsed="false">
      <c r="A72" s="7" t="s">
        <v>47</v>
      </c>
      <c r="B72" s="7" t="s">
        <v>61</v>
      </c>
      <c r="C72" s="9" t="n">
        <v>624</v>
      </c>
      <c r="D72" s="9" t="n">
        <v>1829</v>
      </c>
      <c r="E72" s="9" t="n">
        <v>240</v>
      </c>
      <c r="F72" s="9" t="n">
        <v>821</v>
      </c>
      <c r="G72" s="9" t="n">
        <v>144</v>
      </c>
      <c r="H72" s="9" t="n">
        <v>0</v>
      </c>
      <c r="I72" s="9" t="n">
        <v>0</v>
      </c>
      <c r="J72" s="9" t="n">
        <v>288</v>
      </c>
      <c r="K72" s="9" t="n">
        <f aca="false">SUM(C72:J72)</f>
        <v>3946</v>
      </c>
    </row>
    <row r="73" customFormat="false" ht="15" hidden="false" customHeight="false" outlineLevel="0" collapsed="false">
      <c r="A73" s="7" t="s">
        <v>48</v>
      </c>
      <c r="B73" s="7" t="s">
        <v>61</v>
      </c>
      <c r="C73" s="9" t="n">
        <v>1397</v>
      </c>
      <c r="D73" s="9" t="n">
        <v>1728</v>
      </c>
      <c r="E73" s="9" t="n">
        <v>0</v>
      </c>
      <c r="F73" s="9" t="n">
        <v>384</v>
      </c>
      <c r="G73" s="9" t="n">
        <v>288</v>
      </c>
      <c r="H73" s="9" t="n">
        <v>0</v>
      </c>
      <c r="I73" s="9" t="n">
        <v>0</v>
      </c>
      <c r="J73" s="9" t="n">
        <v>144</v>
      </c>
      <c r="K73" s="9" t="n">
        <f aca="false">SUM(C73:J73)</f>
        <v>3941</v>
      </c>
    </row>
    <row r="74" customFormat="false" ht="15" hidden="false" customHeight="false" outlineLevel="0" collapsed="false">
      <c r="A74" s="7" t="s">
        <v>43</v>
      </c>
      <c r="B74" s="7" t="s">
        <v>62</v>
      </c>
      <c r="C74" s="9" t="n">
        <v>480</v>
      </c>
      <c r="D74" s="9" t="n">
        <v>2703</v>
      </c>
      <c r="E74" s="9" t="n">
        <v>0</v>
      </c>
      <c r="F74" s="9" t="n">
        <v>677</v>
      </c>
      <c r="G74" s="9" t="n">
        <v>0</v>
      </c>
      <c r="H74" s="9" t="n">
        <v>0</v>
      </c>
      <c r="I74" s="9" t="n">
        <v>0</v>
      </c>
      <c r="J74" s="9" t="n">
        <v>96</v>
      </c>
      <c r="K74" s="9" t="n">
        <f aca="false">SUM(C74:J74)</f>
        <v>3956</v>
      </c>
    </row>
    <row r="75" customFormat="false" ht="15" hidden="false" customHeight="false" outlineLevel="0" collapsed="false">
      <c r="A75" s="7" t="s">
        <v>45</v>
      </c>
      <c r="B75" s="7" t="s">
        <v>62</v>
      </c>
      <c r="C75" s="9" t="n">
        <v>528</v>
      </c>
      <c r="D75" s="9" t="n">
        <v>1253</v>
      </c>
      <c r="E75" s="9" t="n">
        <v>576</v>
      </c>
      <c r="F75" s="9" t="n">
        <v>394</v>
      </c>
      <c r="G75" s="9" t="n">
        <v>773</v>
      </c>
      <c r="H75" s="9" t="n">
        <v>0</v>
      </c>
      <c r="I75" s="9" t="n">
        <v>0</v>
      </c>
      <c r="J75" s="9" t="n">
        <v>432</v>
      </c>
      <c r="K75" s="9" t="n">
        <f aca="false">SUM(C75:J75)</f>
        <v>3956</v>
      </c>
    </row>
    <row r="76" customFormat="false" ht="15" hidden="false" customHeight="false" outlineLevel="0" collapsed="false">
      <c r="A76" s="7" t="s">
        <v>46</v>
      </c>
      <c r="B76" s="7" t="s">
        <v>62</v>
      </c>
      <c r="C76" s="9" t="n">
        <v>245</v>
      </c>
      <c r="D76" s="9" t="n">
        <v>336</v>
      </c>
      <c r="E76" s="9" t="n">
        <v>144</v>
      </c>
      <c r="F76" s="9" t="n">
        <v>677</v>
      </c>
      <c r="G76" s="9" t="n">
        <v>192</v>
      </c>
      <c r="H76" s="9" t="n">
        <v>0</v>
      </c>
      <c r="I76" s="9" t="n">
        <v>48</v>
      </c>
      <c r="J76" s="9" t="n">
        <v>2315.1</v>
      </c>
      <c r="K76" s="9" t="n">
        <f aca="false">SUM(C76:J76)</f>
        <v>3957.1</v>
      </c>
    </row>
    <row r="77" customFormat="false" ht="15" hidden="false" customHeight="false" outlineLevel="0" collapsed="false">
      <c r="A77" s="7" t="s">
        <v>47</v>
      </c>
      <c r="B77" s="7" t="s">
        <v>62</v>
      </c>
      <c r="C77" s="9" t="n">
        <v>1205</v>
      </c>
      <c r="D77" s="9" t="n">
        <v>1584</v>
      </c>
      <c r="E77" s="9" t="n">
        <v>48</v>
      </c>
      <c r="F77" s="9" t="n">
        <v>576</v>
      </c>
      <c r="G77" s="9" t="n">
        <v>192</v>
      </c>
      <c r="H77" s="9" t="n">
        <v>0</v>
      </c>
      <c r="I77" s="9" t="n">
        <v>0</v>
      </c>
      <c r="J77" s="9" t="n">
        <v>336</v>
      </c>
      <c r="K77" s="9" t="n">
        <f aca="false">SUM(C77:J77)</f>
        <v>3941</v>
      </c>
    </row>
    <row r="78" customFormat="false" ht="15" hidden="false" customHeight="false" outlineLevel="0" collapsed="false">
      <c r="A78" s="7" t="s">
        <v>48</v>
      </c>
      <c r="B78" s="7" t="s">
        <v>62</v>
      </c>
      <c r="C78" s="9" t="n">
        <v>48</v>
      </c>
      <c r="D78" s="9" t="n">
        <v>725</v>
      </c>
      <c r="E78" s="9" t="n">
        <v>101</v>
      </c>
      <c r="F78" s="9" t="n">
        <v>1104</v>
      </c>
      <c r="G78" s="9" t="n">
        <v>192</v>
      </c>
      <c r="H78" s="9" t="n">
        <v>240</v>
      </c>
      <c r="I78" s="9" t="n">
        <v>0</v>
      </c>
      <c r="J78" s="9" t="n">
        <v>1536</v>
      </c>
      <c r="K78" s="9" t="n">
        <f aca="false">SUM(C78:J78)</f>
        <v>3946</v>
      </c>
    </row>
    <row r="79" customFormat="false" ht="15" hidden="false" customHeight="false" outlineLevel="0" collapsed="false">
      <c r="A79" s="7" t="s">
        <v>43</v>
      </c>
      <c r="B79" s="7" t="s">
        <v>63</v>
      </c>
      <c r="C79" s="9" t="n">
        <v>0</v>
      </c>
      <c r="D79" s="9" t="n">
        <v>1743</v>
      </c>
      <c r="E79" s="9" t="n">
        <v>0</v>
      </c>
      <c r="F79" s="9" t="n">
        <v>1316</v>
      </c>
      <c r="G79" s="9" t="n">
        <v>0</v>
      </c>
      <c r="H79" s="9" t="n">
        <v>0</v>
      </c>
      <c r="I79" s="9" t="n">
        <v>0</v>
      </c>
      <c r="J79" s="9" t="n">
        <v>912</v>
      </c>
      <c r="K79" s="9" t="n">
        <f aca="false">SUM(C79:J79)</f>
        <v>3971</v>
      </c>
    </row>
    <row r="80" customFormat="false" ht="15" hidden="false" customHeight="false" outlineLevel="0" collapsed="false">
      <c r="A80" s="7" t="s">
        <v>45</v>
      </c>
      <c r="B80" s="7" t="s">
        <v>63</v>
      </c>
      <c r="C80" s="9" t="n">
        <v>1013</v>
      </c>
      <c r="D80" s="9" t="n">
        <v>1695</v>
      </c>
      <c r="E80" s="9" t="n">
        <v>192</v>
      </c>
      <c r="F80" s="9" t="n">
        <v>288</v>
      </c>
      <c r="G80" s="9" t="n">
        <v>336</v>
      </c>
      <c r="H80" s="9" t="n">
        <v>0</v>
      </c>
      <c r="I80" s="9" t="n">
        <v>48</v>
      </c>
      <c r="J80" s="9" t="n">
        <v>389</v>
      </c>
      <c r="K80" s="9" t="n">
        <f aca="false">SUM(C80:J80)</f>
        <v>3961</v>
      </c>
    </row>
    <row r="81" customFormat="false" ht="15" hidden="false" customHeight="false" outlineLevel="0" collapsed="false">
      <c r="A81" s="7" t="s">
        <v>46</v>
      </c>
      <c r="B81" s="7" t="s">
        <v>63</v>
      </c>
      <c r="C81" s="9" t="n">
        <v>0</v>
      </c>
      <c r="D81" s="9" t="n">
        <v>624</v>
      </c>
      <c r="E81" s="9" t="n">
        <v>101</v>
      </c>
      <c r="F81" s="9" t="n">
        <v>624</v>
      </c>
      <c r="G81" s="9" t="n">
        <v>1306</v>
      </c>
      <c r="H81" s="9" t="n">
        <v>192</v>
      </c>
      <c r="I81" s="9" t="n">
        <v>48</v>
      </c>
      <c r="J81" s="9" t="n">
        <v>1056</v>
      </c>
      <c r="K81" s="9" t="n">
        <f aca="false">SUM(C81:J81)</f>
        <v>3951</v>
      </c>
    </row>
    <row r="82" customFormat="false" ht="15" hidden="false" customHeight="false" outlineLevel="0" collapsed="false">
      <c r="A82" s="7" t="s">
        <v>47</v>
      </c>
      <c r="B82" s="7" t="s">
        <v>63</v>
      </c>
      <c r="C82" s="9" t="n">
        <v>0</v>
      </c>
      <c r="D82" s="9" t="n">
        <v>0</v>
      </c>
      <c r="E82" s="9" t="n">
        <v>0</v>
      </c>
      <c r="F82" s="9" t="n">
        <v>581</v>
      </c>
      <c r="G82" s="9" t="n">
        <v>192</v>
      </c>
      <c r="H82" s="9" t="n">
        <v>0</v>
      </c>
      <c r="I82" s="9" t="n">
        <v>0</v>
      </c>
      <c r="J82" s="9" t="n">
        <v>3213</v>
      </c>
      <c r="K82" s="9" t="n">
        <f aca="false">SUM(C82:J82)</f>
        <v>3986</v>
      </c>
    </row>
    <row r="83" customFormat="false" ht="15" hidden="false" customHeight="false" outlineLevel="0" collapsed="false">
      <c r="A83" s="7" t="s">
        <v>48</v>
      </c>
      <c r="B83" s="7" t="s">
        <v>63</v>
      </c>
      <c r="C83" s="9" t="n">
        <v>1392</v>
      </c>
      <c r="D83" s="9" t="n">
        <v>1589</v>
      </c>
      <c r="E83" s="9" t="n">
        <v>528</v>
      </c>
      <c r="F83" s="9" t="n">
        <v>96</v>
      </c>
      <c r="G83" s="9" t="n">
        <v>96</v>
      </c>
      <c r="H83" s="9" t="n">
        <v>96</v>
      </c>
      <c r="I83" s="9" t="n">
        <v>0</v>
      </c>
      <c r="J83" s="9" t="n">
        <v>144</v>
      </c>
      <c r="K83" s="9" t="n">
        <f aca="false">SUM(C83:J83)</f>
        <v>3941</v>
      </c>
    </row>
    <row r="84" customFormat="false" ht="15" hidden="false" customHeight="false" outlineLevel="0" collapsed="false">
      <c r="A84" s="7" t="s">
        <v>43</v>
      </c>
      <c r="B84" s="7" t="s">
        <v>64</v>
      </c>
      <c r="C84" s="9" t="n">
        <v>1632</v>
      </c>
      <c r="D84" s="9" t="n">
        <v>1157</v>
      </c>
      <c r="E84" s="9" t="n">
        <v>144</v>
      </c>
      <c r="F84" s="9" t="n">
        <v>197</v>
      </c>
      <c r="G84" s="9" t="n">
        <v>384</v>
      </c>
      <c r="H84" s="9" t="n">
        <v>0</v>
      </c>
      <c r="I84" s="9" t="n">
        <v>0</v>
      </c>
      <c r="J84" s="9" t="n">
        <v>437</v>
      </c>
      <c r="K84" s="9" t="n">
        <f aca="false">SUM(C84:J84)</f>
        <v>3951</v>
      </c>
    </row>
    <row r="85" customFormat="false" ht="15" hidden="false" customHeight="false" outlineLevel="0" collapsed="false">
      <c r="A85" s="7" t="s">
        <v>45</v>
      </c>
      <c r="B85" s="7" t="s">
        <v>64</v>
      </c>
      <c r="C85" s="9" t="n">
        <v>0</v>
      </c>
      <c r="D85" s="9" t="n">
        <v>2309</v>
      </c>
      <c r="E85" s="9" t="n">
        <v>96</v>
      </c>
      <c r="F85" s="9" t="n">
        <v>783</v>
      </c>
      <c r="G85" s="9" t="n">
        <v>48</v>
      </c>
      <c r="H85" s="9" t="n">
        <v>0</v>
      </c>
      <c r="I85" s="9" t="n">
        <v>0</v>
      </c>
      <c r="J85" s="9" t="n">
        <v>730</v>
      </c>
      <c r="K85" s="9" t="n">
        <f aca="false">SUM(C85:J85)</f>
        <v>3966</v>
      </c>
    </row>
    <row r="86" customFormat="false" ht="15" hidden="false" customHeight="false" outlineLevel="0" collapsed="false">
      <c r="A86" s="7" t="s">
        <v>46</v>
      </c>
      <c r="B86" s="7" t="s">
        <v>64</v>
      </c>
      <c r="C86" s="9" t="n">
        <v>1892</v>
      </c>
      <c r="D86" s="9" t="n">
        <v>1200</v>
      </c>
      <c r="E86" s="9" t="n">
        <v>389</v>
      </c>
      <c r="F86" s="9" t="n">
        <v>384</v>
      </c>
      <c r="G86" s="9" t="n">
        <v>0</v>
      </c>
      <c r="H86" s="9" t="n">
        <v>48</v>
      </c>
      <c r="I86" s="9" t="n">
        <v>48</v>
      </c>
      <c r="J86" s="9" t="n">
        <v>0</v>
      </c>
      <c r="K86" s="9" t="n">
        <f aca="false">SUM(C86:J86)</f>
        <v>3961</v>
      </c>
    </row>
    <row r="87" customFormat="false" ht="15" hidden="false" customHeight="false" outlineLevel="0" collapsed="false">
      <c r="A87" s="7" t="s">
        <v>47</v>
      </c>
      <c r="B87" s="7" t="s">
        <v>64</v>
      </c>
      <c r="C87" s="9" t="n">
        <v>672</v>
      </c>
      <c r="D87" s="9" t="n">
        <v>288</v>
      </c>
      <c r="E87" s="9" t="n">
        <v>1973</v>
      </c>
      <c r="F87" s="9" t="n">
        <v>96</v>
      </c>
      <c r="G87" s="9" t="n">
        <v>437</v>
      </c>
      <c r="H87" s="9" t="n">
        <v>192</v>
      </c>
      <c r="I87" s="9" t="n">
        <v>0</v>
      </c>
      <c r="J87" s="9" t="n">
        <v>293</v>
      </c>
      <c r="K87" s="9" t="n">
        <f aca="false">SUM(C87:J87)</f>
        <v>3951</v>
      </c>
    </row>
    <row r="88" customFormat="false" ht="15" hidden="false" customHeight="false" outlineLevel="0" collapsed="false">
      <c r="A88" s="7" t="s">
        <v>48</v>
      </c>
      <c r="B88" s="7" t="s">
        <v>64</v>
      </c>
      <c r="C88" s="9" t="n">
        <v>1445</v>
      </c>
      <c r="D88" s="9" t="n">
        <v>1301</v>
      </c>
      <c r="E88" s="9" t="n">
        <v>629</v>
      </c>
      <c r="F88" s="9" t="n">
        <v>48</v>
      </c>
      <c r="G88" s="9" t="n">
        <v>336</v>
      </c>
      <c r="H88" s="9" t="n">
        <v>0</v>
      </c>
      <c r="I88" s="9" t="n">
        <v>0</v>
      </c>
      <c r="J88" s="9" t="n">
        <v>192</v>
      </c>
      <c r="K88" s="9" t="n">
        <f aca="false">SUM(C88:J88)</f>
        <v>3951</v>
      </c>
    </row>
    <row r="89" customFormat="false" ht="15" hidden="false" customHeight="false" outlineLevel="0" collapsed="false">
      <c r="A89" s="7" t="s">
        <v>43</v>
      </c>
      <c r="B89" s="7" t="s">
        <v>65</v>
      </c>
      <c r="C89" s="9" t="n">
        <v>1637</v>
      </c>
      <c r="D89" s="9" t="n">
        <v>1263</v>
      </c>
      <c r="E89" s="9" t="n">
        <v>0</v>
      </c>
      <c r="F89" s="9" t="n">
        <v>528</v>
      </c>
      <c r="G89" s="9" t="n">
        <v>336</v>
      </c>
      <c r="H89" s="9" t="n">
        <v>0</v>
      </c>
      <c r="I89" s="9" t="n">
        <v>0</v>
      </c>
      <c r="J89" s="9" t="n">
        <v>192</v>
      </c>
      <c r="K89" s="9" t="n">
        <f aca="false">SUM(C89:J89)</f>
        <v>3956</v>
      </c>
    </row>
    <row r="90" customFormat="false" ht="15" hidden="false" customHeight="false" outlineLevel="0" collapsed="false">
      <c r="A90" s="7" t="s">
        <v>45</v>
      </c>
      <c r="B90" s="7" t="s">
        <v>65</v>
      </c>
      <c r="C90" s="9" t="n">
        <v>2761</v>
      </c>
      <c r="D90" s="9" t="n">
        <v>581</v>
      </c>
      <c r="E90" s="9" t="n">
        <v>480</v>
      </c>
      <c r="F90" s="9" t="n">
        <v>0</v>
      </c>
      <c r="G90" s="9" t="n">
        <v>96</v>
      </c>
      <c r="H90" s="9" t="n">
        <v>0</v>
      </c>
      <c r="I90" s="9" t="n">
        <v>0</v>
      </c>
      <c r="J90" s="9" t="n">
        <v>48</v>
      </c>
      <c r="K90" s="9" t="n">
        <f aca="false">SUM(C90:J90)</f>
        <v>3966</v>
      </c>
    </row>
    <row r="91" customFormat="false" ht="15" hidden="false" customHeight="false" outlineLevel="0" collapsed="false">
      <c r="A91" s="7" t="s">
        <v>46</v>
      </c>
      <c r="B91" s="7" t="s">
        <v>65</v>
      </c>
      <c r="C91" s="9" t="n">
        <v>2127</v>
      </c>
      <c r="D91" s="9" t="n">
        <v>1397</v>
      </c>
      <c r="E91" s="9" t="n">
        <v>0</v>
      </c>
      <c r="F91" s="9" t="n">
        <v>293</v>
      </c>
      <c r="G91" s="9" t="n">
        <v>144</v>
      </c>
      <c r="H91" s="9" t="n">
        <v>0</v>
      </c>
      <c r="I91" s="9" t="n">
        <v>0</v>
      </c>
      <c r="J91" s="9" t="n">
        <v>0</v>
      </c>
      <c r="K91" s="9" t="n">
        <f aca="false">SUM(C91:J91)</f>
        <v>3961</v>
      </c>
    </row>
    <row r="92" customFormat="false" ht="15" hidden="false" customHeight="false" outlineLevel="0" collapsed="false">
      <c r="A92" s="7" t="s">
        <v>47</v>
      </c>
      <c r="B92" s="7" t="s">
        <v>65</v>
      </c>
      <c r="C92" s="9" t="n">
        <v>2516</v>
      </c>
      <c r="D92" s="9" t="n">
        <v>869</v>
      </c>
      <c r="E92" s="9" t="n">
        <v>48</v>
      </c>
      <c r="F92" s="9" t="n">
        <v>240</v>
      </c>
      <c r="G92" s="9" t="n">
        <v>149</v>
      </c>
      <c r="H92" s="9" t="n">
        <v>0</v>
      </c>
      <c r="I92" s="9" t="n">
        <v>0</v>
      </c>
      <c r="J92" s="9" t="n">
        <v>144</v>
      </c>
      <c r="K92" s="9" t="n">
        <f aca="false">SUM(C92:J92)</f>
        <v>3966</v>
      </c>
    </row>
    <row r="93" customFormat="false" ht="15" hidden="false" customHeight="false" outlineLevel="0" collapsed="false">
      <c r="A93" s="7" t="s">
        <v>48</v>
      </c>
      <c r="B93" s="7" t="s">
        <v>65</v>
      </c>
      <c r="C93" s="9" t="n">
        <v>2607</v>
      </c>
      <c r="D93" s="9" t="n">
        <v>432</v>
      </c>
      <c r="E93" s="9" t="n">
        <v>485</v>
      </c>
      <c r="F93" s="9" t="n">
        <v>0</v>
      </c>
      <c r="G93" s="9" t="n">
        <v>336</v>
      </c>
      <c r="H93" s="9" t="n">
        <v>0</v>
      </c>
      <c r="I93" s="9" t="n">
        <v>0</v>
      </c>
      <c r="J93" s="9" t="n">
        <v>96</v>
      </c>
      <c r="K93" s="9" t="n">
        <f aca="false">SUM(C93:J93)</f>
        <v>3956</v>
      </c>
    </row>
    <row r="94" customFormat="false" ht="15" hidden="false" customHeight="false" outlineLevel="0" collapsed="false">
      <c r="A94" s="7" t="s">
        <v>43</v>
      </c>
      <c r="B94" s="7" t="s">
        <v>66</v>
      </c>
      <c r="C94" s="9" t="n">
        <v>1114</v>
      </c>
      <c r="D94" s="9" t="n">
        <v>1541</v>
      </c>
      <c r="E94" s="9" t="n">
        <v>336</v>
      </c>
      <c r="F94" s="9" t="n">
        <v>0</v>
      </c>
      <c r="G94" s="9" t="n">
        <v>672</v>
      </c>
      <c r="H94" s="9" t="n">
        <v>192</v>
      </c>
      <c r="I94" s="9" t="n">
        <v>0</v>
      </c>
      <c r="J94" s="9" t="n">
        <v>96</v>
      </c>
      <c r="K94" s="9" t="n">
        <f aca="false">SUM(C94:J94)</f>
        <v>3951</v>
      </c>
    </row>
    <row r="95" customFormat="false" ht="15" hidden="false" customHeight="false" outlineLevel="0" collapsed="false">
      <c r="A95" s="7" t="s">
        <v>45</v>
      </c>
      <c r="B95" s="7" t="s">
        <v>66</v>
      </c>
      <c r="C95" s="9" t="n">
        <v>2084</v>
      </c>
      <c r="D95" s="9" t="n">
        <v>1263</v>
      </c>
      <c r="E95" s="9" t="n">
        <v>96</v>
      </c>
      <c r="F95" s="9" t="n">
        <v>432</v>
      </c>
      <c r="G95" s="9" t="n">
        <v>48</v>
      </c>
      <c r="H95" s="9" t="n">
        <v>0</v>
      </c>
      <c r="I95" s="9" t="n">
        <v>0</v>
      </c>
      <c r="J95" s="9" t="n">
        <v>48</v>
      </c>
      <c r="K95" s="9" t="n">
        <f aca="false">SUM(C95:J95)</f>
        <v>3971</v>
      </c>
    </row>
    <row r="96" customFormat="false" ht="15" hidden="false" customHeight="false" outlineLevel="0" collapsed="false">
      <c r="A96" s="7" t="s">
        <v>46</v>
      </c>
      <c r="B96" s="7" t="s">
        <v>66</v>
      </c>
      <c r="C96" s="9" t="n">
        <v>1973</v>
      </c>
      <c r="D96" s="9" t="n">
        <v>1392</v>
      </c>
      <c r="E96" s="9" t="n">
        <v>144</v>
      </c>
      <c r="F96" s="9" t="n">
        <v>96</v>
      </c>
      <c r="G96" s="9" t="n">
        <v>192</v>
      </c>
      <c r="H96" s="9" t="n">
        <v>48</v>
      </c>
      <c r="I96" s="9" t="n">
        <v>0</v>
      </c>
      <c r="J96" s="9" t="n">
        <v>96</v>
      </c>
      <c r="K96" s="9" t="n">
        <f aca="false">SUM(C96:J96)</f>
        <v>3941</v>
      </c>
    </row>
    <row r="97" customFormat="false" ht="15" hidden="false" customHeight="false" outlineLevel="0" collapsed="false">
      <c r="A97" s="7" t="s">
        <v>47</v>
      </c>
      <c r="B97" s="7" t="s">
        <v>66</v>
      </c>
      <c r="C97" s="9" t="n">
        <v>677</v>
      </c>
      <c r="D97" s="9" t="n">
        <v>240</v>
      </c>
      <c r="E97" s="9" t="n">
        <v>384</v>
      </c>
      <c r="F97" s="9" t="n">
        <v>101</v>
      </c>
      <c r="G97" s="9" t="n">
        <v>533</v>
      </c>
      <c r="H97" s="9" t="n">
        <v>672</v>
      </c>
      <c r="I97" s="9" t="n">
        <v>0</v>
      </c>
      <c r="J97" s="9" t="n">
        <v>1344</v>
      </c>
      <c r="K97" s="9" t="n">
        <f aca="false">SUM(C97:J97)</f>
        <v>3951</v>
      </c>
    </row>
    <row r="98" customFormat="false" ht="15" hidden="false" customHeight="false" outlineLevel="0" collapsed="false">
      <c r="A98" s="7" t="s">
        <v>48</v>
      </c>
      <c r="B98" s="7" t="s">
        <v>66</v>
      </c>
      <c r="C98" s="9" t="n">
        <v>1407</v>
      </c>
      <c r="D98" s="9" t="n">
        <v>912</v>
      </c>
      <c r="E98" s="9" t="n">
        <v>922</v>
      </c>
      <c r="F98" s="9" t="n">
        <v>48</v>
      </c>
      <c r="G98" s="9" t="n">
        <v>192</v>
      </c>
      <c r="H98" s="9" t="n">
        <v>96</v>
      </c>
      <c r="I98" s="9" t="n">
        <v>192</v>
      </c>
      <c r="J98" s="9" t="n">
        <v>192</v>
      </c>
      <c r="K98" s="9" t="n">
        <f aca="false">SUM(C98:J98)</f>
        <v>3961</v>
      </c>
    </row>
    <row r="99" customFormat="false" ht="15" hidden="false" customHeight="false" outlineLevel="0" collapsed="false">
      <c r="A99" s="7" t="s">
        <v>43</v>
      </c>
      <c r="B99" s="7" t="s">
        <v>67</v>
      </c>
      <c r="C99" s="9" t="n">
        <v>0</v>
      </c>
      <c r="D99" s="9" t="n">
        <v>1248</v>
      </c>
      <c r="E99" s="9" t="n">
        <v>1167</v>
      </c>
      <c r="F99" s="9" t="n">
        <v>240</v>
      </c>
      <c r="G99" s="9" t="n">
        <v>288</v>
      </c>
      <c r="H99" s="9" t="n">
        <v>485</v>
      </c>
      <c r="I99" s="9" t="n">
        <v>0</v>
      </c>
      <c r="J99" s="9" t="n">
        <v>528</v>
      </c>
      <c r="K99" s="9" t="n">
        <f aca="false">SUM(C99:J99)</f>
        <v>3956</v>
      </c>
    </row>
    <row r="100" customFormat="false" ht="15" hidden="false" customHeight="false" outlineLevel="0" collapsed="false">
      <c r="A100" s="7" t="s">
        <v>45</v>
      </c>
      <c r="B100" s="7" t="s">
        <v>67</v>
      </c>
      <c r="C100" s="9" t="n">
        <v>1551</v>
      </c>
      <c r="D100" s="9" t="n">
        <v>735</v>
      </c>
      <c r="E100" s="9" t="n">
        <v>937</v>
      </c>
      <c r="F100" s="9" t="n">
        <v>96</v>
      </c>
      <c r="G100" s="9" t="n">
        <v>192</v>
      </c>
      <c r="H100" s="9" t="n">
        <v>96</v>
      </c>
      <c r="I100" s="9" t="n">
        <v>288</v>
      </c>
      <c r="J100" s="9" t="n">
        <v>96</v>
      </c>
      <c r="K100" s="9" t="n">
        <f aca="false">SUM(C100:J100)</f>
        <v>3991</v>
      </c>
    </row>
    <row r="101" customFormat="false" ht="15" hidden="false" customHeight="false" outlineLevel="0" collapsed="false">
      <c r="A101" s="7" t="s">
        <v>46</v>
      </c>
      <c r="B101" s="7" t="s">
        <v>67</v>
      </c>
      <c r="C101" s="9" t="n">
        <v>816</v>
      </c>
      <c r="D101" s="9" t="n">
        <v>1157</v>
      </c>
      <c r="E101" s="9" t="n">
        <v>432</v>
      </c>
      <c r="F101" s="9" t="n">
        <v>768</v>
      </c>
      <c r="G101" s="9" t="n">
        <v>485</v>
      </c>
      <c r="H101" s="9" t="n">
        <v>0</v>
      </c>
      <c r="I101" s="9" t="n">
        <v>0</v>
      </c>
      <c r="J101" s="9" t="n">
        <v>288</v>
      </c>
      <c r="K101" s="9" t="n">
        <f aca="false">SUM(C101:J101)</f>
        <v>3946</v>
      </c>
    </row>
    <row r="102" customFormat="false" ht="15" hidden="false" customHeight="false" outlineLevel="0" collapsed="false">
      <c r="A102" s="7" t="s">
        <v>47</v>
      </c>
      <c r="B102" s="7" t="s">
        <v>67</v>
      </c>
      <c r="C102" s="9" t="n">
        <v>2324</v>
      </c>
      <c r="D102" s="9" t="n">
        <v>874</v>
      </c>
      <c r="E102" s="9" t="n">
        <v>581</v>
      </c>
      <c r="F102" s="9" t="n">
        <v>101</v>
      </c>
      <c r="G102" s="9" t="n">
        <v>0</v>
      </c>
      <c r="H102" s="9" t="n">
        <v>48</v>
      </c>
      <c r="I102" s="9" t="n">
        <v>0</v>
      </c>
      <c r="J102" s="9" t="n">
        <v>48</v>
      </c>
      <c r="K102" s="9" t="n">
        <f aca="false">SUM(C102:J102)</f>
        <v>3976</v>
      </c>
    </row>
    <row r="103" customFormat="false" ht="15" hidden="false" customHeight="false" outlineLevel="0" collapsed="false">
      <c r="A103" s="7" t="s">
        <v>48</v>
      </c>
      <c r="B103" s="7" t="s">
        <v>67</v>
      </c>
      <c r="C103" s="9" t="n">
        <v>1728</v>
      </c>
      <c r="D103" s="9" t="n">
        <v>1599</v>
      </c>
      <c r="E103" s="9" t="n">
        <v>96</v>
      </c>
      <c r="F103" s="9" t="n">
        <v>288</v>
      </c>
      <c r="G103" s="9" t="n">
        <v>144</v>
      </c>
      <c r="H103" s="9" t="n">
        <v>0</v>
      </c>
      <c r="I103" s="9" t="n">
        <v>0</v>
      </c>
      <c r="J103" s="9" t="n">
        <v>96</v>
      </c>
      <c r="K103" s="9" t="n">
        <f aca="false">SUM(C103:J103)</f>
        <v>3951</v>
      </c>
    </row>
    <row r="104" customFormat="false" ht="15" hidden="false" customHeight="false" outlineLevel="0" collapsed="false">
      <c r="A104" s="7" t="s">
        <v>43</v>
      </c>
      <c r="B104" s="7" t="s">
        <v>68</v>
      </c>
      <c r="C104" s="9" t="n">
        <v>1248</v>
      </c>
      <c r="D104" s="9" t="n">
        <v>773</v>
      </c>
      <c r="E104" s="9" t="n">
        <v>96</v>
      </c>
      <c r="F104" s="9" t="n">
        <v>192</v>
      </c>
      <c r="G104" s="9" t="n">
        <v>538</v>
      </c>
      <c r="H104" s="9" t="n">
        <v>144</v>
      </c>
      <c r="I104" s="9" t="n">
        <v>101</v>
      </c>
      <c r="J104" s="9" t="n">
        <v>869</v>
      </c>
      <c r="K104" s="9" t="n">
        <f aca="false">SUM(C104:J104)</f>
        <v>3961</v>
      </c>
    </row>
    <row r="105" customFormat="false" ht="15" hidden="false" customHeight="false" outlineLevel="0" collapsed="false">
      <c r="A105" s="7" t="s">
        <v>45</v>
      </c>
      <c r="B105" s="7" t="s">
        <v>68</v>
      </c>
      <c r="C105" s="9" t="n">
        <v>0</v>
      </c>
      <c r="D105" s="9" t="n">
        <v>730</v>
      </c>
      <c r="E105" s="9" t="n">
        <v>1301</v>
      </c>
      <c r="F105" s="9" t="n">
        <v>384</v>
      </c>
      <c r="G105" s="9" t="n">
        <v>1167</v>
      </c>
      <c r="H105" s="9" t="n">
        <v>48</v>
      </c>
      <c r="I105" s="9" t="n">
        <v>0</v>
      </c>
      <c r="J105" s="9" t="n">
        <v>341</v>
      </c>
      <c r="K105" s="9" t="n">
        <f aca="false">SUM(C105:J105)</f>
        <v>3971</v>
      </c>
    </row>
    <row r="106" customFormat="false" ht="15" hidden="false" customHeight="false" outlineLevel="0" collapsed="false">
      <c r="A106" s="7" t="s">
        <v>46</v>
      </c>
      <c r="B106" s="7" t="s">
        <v>68</v>
      </c>
      <c r="C106" s="9" t="n">
        <v>3034</v>
      </c>
      <c r="D106" s="9" t="n">
        <v>639</v>
      </c>
      <c r="E106" s="9" t="n">
        <v>96</v>
      </c>
      <c r="F106" s="9" t="n">
        <v>144</v>
      </c>
      <c r="G106" s="9" t="n">
        <v>48</v>
      </c>
      <c r="H106" s="9" t="n">
        <v>0</v>
      </c>
      <c r="I106" s="9" t="n">
        <v>0</v>
      </c>
      <c r="J106" s="9" t="n">
        <v>0</v>
      </c>
      <c r="K106" s="9" t="n">
        <f aca="false">SUM(C106:J106)</f>
        <v>3961</v>
      </c>
    </row>
    <row r="107" customFormat="false" ht="15" hidden="false" customHeight="false" outlineLevel="0" collapsed="false">
      <c r="A107" s="7" t="s">
        <v>47</v>
      </c>
      <c r="B107" s="7" t="s">
        <v>68</v>
      </c>
      <c r="C107" s="9" t="n">
        <v>0</v>
      </c>
      <c r="D107" s="9" t="n">
        <v>2453</v>
      </c>
      <c r="E107" s="9" t="n">
        <v>0</v>
      </c>
      <c r="F107" s="9" t="n">
        <v>1056</v>
      </c>
      <c r="G107" s="9" t="n">
        <v>0</v>
      </c>
      <c r="H107" s="9" t="n">
        <v>0</v>
      </c>
      <c r="I107" s="9" t="n">
        <v>0</v>
      </c>
      <c r="J107" s="9" t="n">
        <v>432</v>
      </c>
      <c r="K107" s="9" t="n">
        <f aca="false">SUM(C107:J107)</f>
        <v>3941</v>
      </c>
    </row>
    <row r="108" customFormat="false" ht="15" hidden="false" customHeight="false" outlineLevel="0" collapsed="false">
      <c r="A108" s="7" t="s">
        <v>48</v>
      </c>
      <c r="B108" s="7" t="s">
        <v>68</v>
      </c>
      <c r="C108" s="9" t="n">
        <v>1887</v>
      </c>
      <c r="D108" s="9" t="n">
        <v>1268</v>
      </c>
      <c r="E108" s="9" t="n">
        <v>48</v>
      </c>
      <c r="F108" s="9" t="n">
        <v>528</v>
      </c>
      <c r="G108" s="9" t="n">
        <v>0</v>
      </c>
      <c r="H108" s="9" t="n">
        <v>0</v>
      </c>
      <c r="I108" s="9" t="n">
        <v>0</v>
      </c>
      <c r="J108" s="9" t="n">
        <v>240</v>
      </c>
      <c r="K108" s="9" t="n">
        <f aca="false">SUM(C108:J108)</f>
        <v>3971</v>
      </c>
    </row>
    <row r="109" customFormat="false" ht="15" hidden="false" customHeight="false" outlineLevel="0" collapsed="false">
      <c r="A109" s="7" t="s">
        <v>43</v>
      </c>
      <c r="B109" s="7" t="s">
        <v>69</v>
      </c>
      <c r="C109" s="9" t="n">
        <v>1642</v>
      </c>
      <c r="D109" s="9" t="n">
        <v>960</v>
      </c>
      <c r="E109" s="9" t="n">
        <v>48</v>
      </c>
      <c r="F109" s="9" t="n">
        <v>485</v>
      </c>
      <c r="G109" s="9" t="n">
        <v>48</v>
      </c>
      <c r="H109" s="9" t="n">
        <v>0</v>
      </c>
      <c r="I109" s="9" t="n">
        <v>149</v>
      </c>
      <c r="J109" s="9" t="n">
        <v>624</v>
      </c>
      <c r="K109" s="9" t="n">
        <f aca="false">SUM(C109:J109)</f>
        <v>3956</v>
      </c>
    </row>
    <row r="110" customFormat="false" ht="15" hidden="false" customHeight="false" outlineLevel="0" collapsed="false">
      <c r="A110" s="7" t="s">
        <v>45</v>
      </c>
      <c r="B110" s="7" t="s">
        <v>69</v>
      </c>
      <c r="C110" s="9" t="n">
        <v>1738</v>
      </c>
      <c r="D110" s="9" t="n">
        <v>144</v>
      </c>
      <c r="E110" s="9" t="n">
        <v>96</v>
      </c>
      <c r="F110" s="9" t="n">
        <v>922</v>
      </c>
      <c r="G110" s="9" t="n">
        <v>576</v>
      </c>
      <c r="H110" s="9" t="n">
        <v>0</v>
      </c>
      <c r="I110" s="9" t="n">
        <v>0</v>
      </c>
      <c r="J110" s="9" t="n">
        <v>480</v>
      </c>
      <c r="K110" s="9" t="n">
        <f aca="false">SUM(C110:J110)</f>
        <v>3956</v>
      </c>
    </row>
    <row r="111" customFormat="false" ht="15" hidden="false" customHeight="false" outlineLevel="0" collapsed="false">
      <c r="A111" s="7" t="s">
        <v>46</v>
      </c>
      <c r="B111" s="7" t="s">
        <v>69</v>
      </c>
      <c r="C111" s="9" t="n">
        <v>0</v>
      </c>
      <c r="D111" s="9" t="n">
        <v>1589</v>
      </c>
      <c r="E111" s="9" t="n">
        <v>288</v>
      </c>
      <c r="F111" s="9" t="n">
        <v>96</v>
      </c>
      <c r="G111" s="9" t="n">
        <v>394</v>
      </c>
      <c r="H111" s="9" t="n">
        <v>1104</v>
      </c>
      <c r="I111" s="9" t="n">
        <v>0</v>
      </c>
      <c r="J111" s="9" t="n">
        <v>485</v>
      </c>
      <c r="K111" s="9" t="n">
        <f aca="false">SUM(C111:J111)</f>
        <v>3956</v>
      </c>
    </row>
    <row r="112" customFormat="false" ht="15" hidden="false" customHeight="false" outlineLevel="0" collapsed="false">
      <c r="A112" s="7" t="s">
        <v>47</v>
      </c>
      <c r="B112" s="7" t="s">
        <v>69</v>
      </c>
      <c r="C112" s="9" t="n">
        <v>528</v>
      </c>
      <c r="D112" s="9" t="n">
        <v>1738</v>
      </c>
      <c r="E112" s="9" t="n">
        <v>672</v>
      </c>
      <c r="F112" s="9" t="n">
        <v>528</v>
      </c>
      <c r="G112" s="9" t="n">
        <v>192</v>
      </c>
      <c r="H112" s="9" t="n">
        <v>0</v>
      </c>
      <c r="I112" s="9" t="n">
        <v>0</v>
      </c>
      <c r="J112" s="9" t="n">
        <v>288</v>
      </c>
      <c r="K112" s="9" t="n">
        <f aca="false">SUM(C112:J112)</f>
        <v>3946</v>
      </c>
    </row>
    <row r="113" customFormat="false" ht="15" hidden="false" customHeight="false" outlineLevel="0" collapsed="false">
      <c r="A113" s="7" t="s">
        <v>48</v>
      </c>
      <c r="B113" s="7" t="s">
        <v>69</v>
      </c>
      <c r="C113" s="9" t="n">
        <v>1824</v>
      </c>
      <c r="D113" s="9" t="n">
        <v>1806</v>
      </c>
      <c r="E113" s="9" t="n">
        <v>48</v>
      </c>
      <c r="F113" s="9" t="n">
        <v>96</v>
      </c>
      <c r="G113" s="9" t="n">
        <v>96</v>
      </c>
      <c r="H113" s="9" t="n">
        <v>48</v>
      </c>
      <c r="I113" s="9" t="n">
        <v>48</v>
      </c>
      <c r="J113" s="9" t="n">
        <v>0</v>
      </c>
      <c r="K113" s="9" t="n">
        <f aca="false">SUM(C113:J113)</f>
        <v>3966</v>
      </c>
    </row>
    <row r="114" customFormat="false" ht="15" hidden="false" customHeight="false" outlineLevel="0" collapsed="false">
      <c r="A114" s="7" t="s">
        <v>43</v>
      </c>
      <c r="B114" s="7" t="s">
        <v>70</v>
      </c>
      <c r="C114" s="9" t="n">
        <v>1455</v>
      </c>
      <c r="D114" s="9" t="n">
        <v>1397</v>
      </c>
      <c r="E114" s="9" t="n">
        <v>48</v>
      </c>
      <c r="F114" s="9" t="n">
        <v>629</v>
      </c>
      <c r="G114" s="9" t="n">
        <v>240</v>
      </c>
      <c r="H114" s="9" t="n">
        <v>0</v>
      </c>
      <c r="I114" s="9" t="n">
        <v>0</v>
      </c>
      <c r="J114" s="9" t="n">
        <v>192</v>
      </c>
      <c r="K114" s="9" t="n">
        <f aca="false">SUM(C114:J114)</f>
        <v>3961</v>
      </c>
    </row>
    <row r="115" customFormat="false" ht="15" hidden="false" customHeight="false" outlineLevel="0" collapsed="false">
      <c r="A115" s="7" t="s">
        <v>45</v>
      </c>
      <c r="B115" s="7" t="s">
        <v>70</v>
      </c>
      <c r="C115" s="9" t="n">
        <v>2809</v>
      </c>
      <c r="D115" s="9" t="n">
        <v>432</v>
      </c>
      <c r="E115" s="9" t="n">
        <v>346</v>
      </c>
      <c r="F115" s="9" t="n">
        <v>48</v>
      </c>
      <c r="G115" s="9" t="n">
        <v>240</v>
      </c>
      <c r="H115" s="9" t="n">
        <v>0</v>
      </c>
      <c r="I115" s="9" t="n">
        <v>0</v>
      </c>
      <c r="J115" s="9" t="n">
        <v>101</v>
      </c>
      <c r="K115" s="9" t="n">
        <f aca="false">SUM(C115:J115)</f>
        <v>3976</v>
      </c>
    </row>
    <row r="116" customFormat="false" ht="15" hidden="false" customHeight="false" outlineLevel="0" collapsed="false">
      <c r="A116" s="7" t="s">
        <v>46</v>
      </c>
      <c r="B116" s="7" t="s">
        <v>70</v>
      </c>
      <c r="C116" s="9" t="n">
        <v>1349</v>
      </c>
      <c r="D116" s="9" t="n">
        <v>533</v>
      </c>
      <c r="E116" s="9" t="n">
        <v>288</v>
      </c>
      <c r="F116" s="9" t="n">
        <v>346</v>
      </c>
      <c r="G116" s="9" t="n">
        <v>336</v>
      </c>
      <c r="H116" s="9" t="n">
        <v>480</v>
      </c>
      <c r="I116" s="9" t="n">
        <v>0</v>
      </c>
      <c r="J116" s="9" t="n">
        <v>624</v>
      </c>
      <c r="K116" s="9" t="n">
        <f aca="false">SUM(C116:J116)</f>
        <v>3956</v>
      </c>
    </row>
    <row r="117" customFormat="false" ht="15" hidden="false" customHeight="false" outlineLevel="0" collapsed="false">
      <c r="A117" s="7" t="s">
        <v>47</v>
      </c>
      <c r="B117" s="7" t="s">
        <v>70</v>
      </c>
      <c r="C117" s="9" t="n">
        <v>576</v>
      </c>
      <c r="D117" s="9" t="n">
        <v>768</v>
      </c>
      <c r="E117" s="9" t="n">
        <v>485</v>
      </c>
      <c r="F117" s="9" t="n">
        <v>639</v>
      </c>
      <c r="G117" s="9" t="n">
        <v>384</v>
      </c>
      <c r="H117" s="9" t="n">
        <v>384</v>
      </c>
      <c r="I117" s="9" t="n">
        <v>0</v>
      </c>
      <c r="J117" s="9" t="n">
        <v>725</v>
      </c>
      <c r="K117" s="9" t="n">
        <f aca="false">SUM(C117:J117)</f>
        <v>3961</v>
      </c>
    </row>
    <row r="118" customFormat="false" ht="15" hidden="false" customHeight="false" outlineLevel="0" collapsed="false">
      <c r="A118" s="7" t="s">
        <v>48</v>
      </c>
      <c r="B118" s="7" t="s">
        <v>70</v>
      </c>
      <c r="C118" s="9" t="n">
        <v>432</v>
      </c>
      <c r="D118" s="9" t="n">
        <v>240</v>
      </c>
      <c r="E118" s="9" t="n">
        <v>1427</v>
      </c>
      <c r="F118" s="9" t="n">
        <v>240</v>
      </c>
      <c r="G118" s="9" t="n">
        <v>624</v>
      </c>
      <c r="H118" s="9" t="n">
        <v>336</v>
      </c>
      <c r="I118" s="9" t="n">
        <v>0</v>
      </c>
      <c r="J118" s="9" t="n">
        <v>677</v>
      </c>
      <c r="K118" s="9" t="n">
        <f aca="false">SUM(C118:J118)</f>
        <v>3976</v>
      </c>
    </row>
    <row r="119" customFormat="false" ht="15" hidden="false" customHeight="false" outlineLevel="0" collapsed="false">
      <c r="A119" s="7" t="s">
        <v>43</v>
      </c>
      <c r="B119" s="7" t="s">
        <v>71</v>
      </c>
      <c r="C119" s="9" t="n">
        <v>1824</v>
      </c>
      <c r="D119" s="9" t="n">
        <v>1061</v>
      </c>
      <c r="E119" s="9" t="n">
        <v>53</v>
      </c>
      <c r="F119" s="9" t="n">
        <v>528</v>
      </c>
      <c r="G119" s="9" t="n">
        <v>336</v>
      </c>
      <c r="H119" s="9" t="n">
        <v>0</v>
      </c>
      <c r="I119" s="9" t="n">
        <v>0</v>
      </c>
      <c r="J119" s="9" t="n">
        <v>144</v>
      </c>
      <c r="K119" s="9" t="n">
        <f aca="false">SUM(C119:J119)</f>
        <v>3946</v>
      </c>
    </row>
    <row r="120" customFormat="false" ht="15" hidden="false" customHeight="false" outlineLevel="0" collapsed="false">
      <c r="A120" s="7" t="s">
        <v>45</v>
      </c>
      <c r="B120" s="7" t="s">
        <v>71</v>
      </c>
      <c r="C120" s="9" t="n">
        <v>831</v>
      </c>
      <c r="D120" s="9" t="n">
        <v>1872</v>
      </c>
      <c r="E120" s="9" t="n">
        <v>389</v>
      </c>
      <c r="F120" s="9" t="n">
        <v>48</v>
      </c>
      <c r="G120" s="9" t="n">
        <v>528</v>
      </c>
      <c r="H120" s="9" t="n">
        <v>48</v>
      </c>
      <c r="I120" s="9" t="n">
        <v>0</v>
      </c>
      <c r="J120" s="9" t="n">
        <v>240</v>
      </c>
      <c r="K120" s="9" t="n">
        <f aca="false">SUM(C120:J120)</f>
        <v>3956</v>
      </c>
    </row>
    <row r="121" customFormat="false" ht="15" hidden="false" customHeight="false" outlineLevel="0" collapsed="false">
      <c r="A121" s="7" t="s">
        <v>46</v>
      </c>
      <c r="B121" s="7" t="s">
        <v>71</v>
      </c>
      <c r="C121" s="9" t="n">
        <v>1632</v>
      </c>
      <c r="D121" s="9" t="n">
        <v>1263</v>
      </c>
      <c r="E121" s="9" t="n">
        <v>389</v>
      </c>
      <c r="F121" s="9" t="n">
        <v>336</v>
      </c>
      <c r="G121" s="9" t="n">
        <v>240</v>
      </c>
      <c r="H121" s="9" t="n">
        <v>0</v>
      </c>
      <c r="I121" s="9" t="n">
        <v>0</v>
      </c>
      <c r="J121" s="9" t="n">
        <v>96</v>
      </c>
      <c r="K121" s="9" t="n">
        <f aca="false">SUM(C121:J121)</f>
        <v>3956</v>
      </c>
    </row>
    <row r="122" customFormat="false" ht="15" hidden="false" customHeight="false" outlineLevel="0" collapsed="false">
      <c r="A122" s="7" t="s">
        <v>47</v>
      </c>
      <c r="B122" s="7" t="s">
        <v>71</v>
      </c>
      <c r="C122" s="9" t="n">
        <v>341</v>
      </c>
      <c r="D122" s="9" t="n">
        <v>1008</v>
      </c>
      <c r="E122" s="9" t="n">
        <v>1508</v>
      </c>
      <c r="F122" s="9" t="n">
        <v>341</v>
      </c>
      <c r="G122" s="9" t="n">
        <v>624</v>
      </c>
      <c r="H122" s="9" t="n">
        <v>96</v>
      </c>
      <c r="I122" s="9" t="n">
        <v>0</v>
      </c>
      <c r="J122" s="9" t="n">
        <v>48</v>
      </c>
      <c r="K122" s="9" t="n">
        <f aca="false">SUM(C122:J122)</f>
        <v>3966</v>
      </c>
    </row>
    <row r="123" customFormat="false" ht="15" hidden="false" customHeight="false" outlineLevel="0" collapsed="false">
      <c r="A123" s="7" t="s">
        <v>48</v>
      </c>
      <c r="B123" s="7" t="s">
        <v>71</v>
      </c>
      <c r="C123" s="9" t="n">
        <v>1162</v>
      </c>
      <c r="D123" s="9" t="n">
        <v>1920</v>
      </c>
      <c r="E123" s="9" t="n">
        <v>0</v>
      </c>
      <c r="F123" s="9" t="n">
        <v>480</v>
      </c>
      <c r="G123" s="9" t="n">
        <v>144</v>
      </c>
      <c r="H123" s="9" t="n">
        <v>0</v>
      </c>
      <c r="I123" s="9" t="n">
        <v>0</v>
      </c>
      <c r="J123" s="9" t="n">
        <v>245</v>
      </c>
      <c r="K123" s="9" t="n">
        <f aca="false">SUM(C123:J123)</f>
        <v>3951</v>
      </c>
    </row>
    <row r="124" customFormat="false" ht="15" hidden="false" customHeight="false" outlineLevel="0" collapsed="false">
      <c r="A124" s="7" t="s">
        <v>43</v>
      </c>
      <c r="B124" s="7" t="s">
        <v>72</v>
      </c>
      <c r="C124" s="9" t="n">
        <v>816</v>
      </c>
      <c r="D124" s="9" t="n">
        <v>384</v>
      </c>
      <c r="E124" s="9" t="n">
        <v>96</v>
      </c>
      <c r="F124" s="9" t="n">
        <v>533</v>
      </c>
      <c r="G124" s="9" t="n">
        <v>480</v>
      </c>
      <c r="H124" s="9" t="n">
        <v>48</v>
      </c>
      <c r="I124" s="9" t="n">
        <v>0</v>
      </c>
      <c r="J124" s="9" t="n">
        <v>1589</v>
      </c>
      <c r="K124" s="9" t="n">
        <f aca="false">SUM(C124:J124)</f>
        <v>3946</v>
      </c>
    </row>
    <row r="125" customFormat="false" ht="15" hidden="false" customHeight="false" outlineLevel="0" collapsed="false">
      <c r="A125" s="7" t="s">
        <v>45</v>
      </c>
      <c r="B125" s="7" t="s">
        <v>72</v>
      </c>
      <c r="C125" s="9" t="n">
        <v>1637</v>
      </c>
      <c r="D125" s="9" t="n">
        <v>821</v>
      </c>
      <c r="E125" s="9" t="n">
        <v>144</v>
      </c>
      <c r="F125" s="9" t="n">
        <v>384</v>
      </c>
      <c r="G125" s="9" t="n">
        <v>48</v>
      </c>
      <c r="H125" s="9" t="n">
        <v>0</v>
      </c>
      <c r="I125" s="9" t="n">
        <v>384</v>
      </c>
      <c r="J125" s="9" t="n">
        <v>528</v>
      </c>
      <c r="K125" s="9" t="n">
        <f aca="false">SUM(C125:J125)</f>
        <v>3946</v>
      </c>
    </row>
    <row r="126" customFormat="false" ht="15" hidden="false" customHeight="false" outlineLevel="0" collapsed="false">
      <c r="A126" s="7" t="s">
        <v>46</v>
      </c>
      <c r="B126" s="7" t="s">
        <v>72</v>
      </c>
      <c r="C126" s="9" t="n">
        <v>485</v>
      </c>
      <c r="D126" s="9" t="n">
        <v>639</v>
      </c>
      <c r="E126" s="9" t="n">
        <v>480</v>
      </c>
      <c r="F126" s="9" t="n">
        <v>389</v>
      </c>
      <c r="G126" s="9" t="n">
        <v>826</v>
      </c>
      <c r="H126" s="9" t="n">
        <v>101</v>
      </c>
      <c r="I126" s="9" t="n">
        <v>48</v>
      </c>
      <c r="J126" s="9" t="n">
        <v>1008</v>
      </c>
      <c r="K126" s="9" t="n">
        <f aca="false">SUM(C126:J126)</f>
        <v>3976</v>
      </c>
    </row>
    <row r="127" customFormat="false" ht="15" hidden="false" customHeight="false" outlineLevel="0" collapsed="false">
      <c r="A127" s="7" t="s">
        <v>47</v>
      </c>
      <c r="B127" s="7" t="s">
        <v>72</v>
      </c>
      <c r="C127" s="9" t="n">
        <v>1637</v>
      </c>
      <c r="D127" s="9" t="n">
        <v>1450</v>
      </c>
      <c r="E127" s="9" t="n">
        <v>192</v>
      </c>
      <c r="F127" s="9" t="n">
        <v>432</v>
      </c>
      <c r="G127" s="9" t="n">
        <v>0</v>
      </c>
      <c r="H127" s="9" t="n">
        <v>0</v>
      </c>
      <c r="I127" s="9" t="n">
        <v>0</v>
      </c>
      <c r="J127" s="9" t="n">
        <v>245</v>
      </c>
      <c r="K127" s="9" t="n">
        <f aca="false">SUM(C127:J127)</f>
        <v>3956</v>
      </c>
    </row>
    <row r="128" customFormat="false" ht="15" hidden="false" customHeight="false" outlineLevel="0" collapsed="false">
      <c r="A128" s="7" t="s">
        <v>48</v>
      </c>
      <c r="B128" s="7" t="s">
        <v>72</v>
      </c>
      <c r="C128" s="9" t="n">
        <v>1594</v>
      </c>
      <c r="D128" s="9" t="n">
        <v>2117</v>
      </c>
      <c r="E128" s="9" t="n">
        <v>0</v>
      </c>
      <c r="F128" s="9" t="n">
        <v>144</v>
      </c>
      <c r="G128" s="9" t="n">
        <v>96</v>
      </c>
      <c r="H128" s="9" t="n">
        <v>0</v>
      </c>
      <c r="I128" s="9" t="n">
        <v>0</v>
      </c>
      <c r="J128" s="9" t="n">
        <v>0</v>
      </c>
      <c r="K128" s="9" t="n">
        <f aca="false">SUM(C128:J128)</f>
        <v>3951</v>
      </c>
    </row>
    <row r="129" customFormat="false" ht="15" hidden="false" customHeight="false" outlineLevel="0" collapsed="false">
      <c r="A129" s="7" t="s">
        <v>43</v>
      </c>
      <c r="B129" s="7" t="s">
        <v>73</v>
      </c>
      <c r="C129" s="9" t="n">
        <v>0</v>
      </c>
      <c r="D129" s="9" t="n">
        <v>336</v>
      </c>
      <c r="E129" s="9" t="n">
        <v>1056</v>
      </c>
      <c r="F129" s="9" t="n">
        <v>586</v>
      </c>
      <c r="G129" s="9" t="n">
        <v>960</v>
      </c>
      <c r="H129" s="9" t="n">
        <v>720</v>
      </c>
      <c r="I129" s="9" t="n">
        <v>0</v>
      </c>
      <c r="J129" s="9" t="n">
        <v>303</v>
      </c>
      <c r="K129" s="9" t="n">
        <f aca="false">SUM(C129:J129)</f>
        <v>3961</v>
      </c>
    </row>
    <row r="130" customFormat="false" ht="15" hidden="false" customHeight="false" outlineLevel="0" collapsed="false">
      <c r="A130" s="7" t="s">
        <v>45</v>
      </c>
      <c r="B130" s="7" t="s">
        <v>73</v>
      </c>
      <c r="C130" s="9" t="n">
        <v>2958</v>
      </c>
      <c r="D130" s="9" t="n">
        <v>384</v>
      </c>
      <c r="E130" s="9" t="n">
        <v>576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48</v>
      </c>
      <c r="K130" s="9" t="n">
        <f aca="false">SUM(C130:J130)</f>
        <v>3966</v>
      </c>
    </row>
    <row r="131" customFormat="false" ht="15" hidden="false" customHeight="false" outlineLevel="0" collapsed="false">
      <c r="A131" s="7" t="s">
        <v>46</v>
      </c>
      <c r="B131" s="7" t="s">
        <v>73</v>
      </c>
      <c r="C131" s="9" t="n">
        <v>2223</v>
      </c>
      <c r="D131" s="9" t="n">
        <v>192</v>
      </c>
      <c r="E131" s="9" t="n">
        <v>1556</v>
      </c>
      <c r="F131" s="9" t="n">
        <v>0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f aca="false">SUM(C131:J131)</f>
        <v>3971</v>
      </c>
    </row>
    <row r="132" customFormat="false" ht="15" hidden="false" customHeight="false" outlineLevel="0" collapsed="false">
      <c r="A132" s="7" t="s">
        <v>47</v>
      </c>
      <c r="B132" s="7" t="s">
        <v>73</v>
      </c>
      <c r="C132" s="9" t="n">
        <v>1546</v>
      </c>
      <c r="D132" s="9" t="n">
        <v>1647</v>
      </c>
      <c r="E132" s="9" t="n">
        <v>149</v>
      </c>
      <c r="F132" s="9" t="n">
        <v>389</v>
      </c>
      <c r="G132" s="9" t="n">
        <v>53</v>
      </c>
      <c r="H132" s="9" t="n">
        <v>0</v>
      </c>
      <c r="I132" s="9" t="n">
        <v>96</v>
      </c>
      <c r="J132" s="9" t="n">
        <v>96</v>
      </c>
      <c r="K132" s="9" t="n">
        <f aca="false">SUM(C132:J132)</f>
        <v>3976</v>
      </c>
    </row>
    <row r="133" customFormat="false" ht="15" hidden="false" customHeight="false" outlineLevel="0" collapsed="false">
      <c r="A133" s="7" t="s">
        <v>48</v>
      </c>
      <c r="B133" s="7" t="s">
        <v>73</v>
      </c>
      <c r="C133" s="9" t="n">
        <v>1210</v>
      </c>
      <c r="D133" s="9" t="n">
        <v>1056</v>
      </c>
      <c r="E133" s="9" t="n">
        <v>533</v>
      </c>
      <c r="F133" s="9" t="n">
        <v>240</v>
      </c>
      <c r="G133" s="9" t="n">
        <v>576</v>
      </c>
      <c r="H133" s="9" t="n">
        <v>0</v>
      </c>
      <c r="I133" s="9" t="n">
        <v>0</v>
      </c>
      <c r="J133" s="9" t="n">
        <v>336</v>
      </c>
      <c r="K133" s="9" t="n">
        <f aca="false">SUM(C133:J133)</f>
        <v>3951</v>
      </c>
    </row>
    <row r="134" customFormat="false" ht="15" hidden="false" customHeight="false" outlineLevel="0" collapsed="false">
      <c r="A134" s="7" t="s">
        <v>43</v>
      </c>
      <c r="B134" s="7" t="s">
        <v>74</v>
      </c>
      <c r="C134" s="9" t="n">
        <v>1157</v>
      </c>
      <c r="D134" s="9" t="n">
        <v>1498</v>
      </c>
      <c r="E134" s="9" t="n">
        <v>48</v>
      </c>
      <c r="F134" s="9" t="n">
        <v>101</v>
      </c>
      <c r="G134" s="9" t="n">
        <v>480</v>
      </c>
      <c r="H134" s="9" t="n">
        <v>48</v>
      </c>
      <c r="I134" s="9" t="n">
        <v>0</v>
      </c>
      <c r="J134" s="9" t="n">
        <v>629</v>
      </c>
      <c r="K134" s="9" t="n">
        <f aca="false">SUM(C134:J134)</f>
        <v>3961</v>
      </c>
    </row>
    <row r="135" customFormat="false" ht="15" hidden="false" customHeight="false" outlineLevel="0" collapsed="false">
      <c r="A135" s="7" t="s">
        <v>45</v>
      </c>
      <c r="B135" s="7" t="s">
        <v>74</v>
      </c>
      <c r="C135" s="9" t="n">
        <v>1114</v>
      </c>
      <c r="D135" s="9" t="n">
        <v>1104</v>
      </c>
      <c r="E135" s="9" t="n">
        <v>48</v>
      </c>
      <c r="F135" s="9" t="n">
        <v>917</v>
      </c>
      <c r="G135" s="9" t="n">
        <v>96</v>
      </c>
      <c r="H135" s="9" t="n">
        <v>0</v>
      </c>
      <c r="I135" s="9" t="n">
        <v>0</v>
      </c>
      <c r="J135" s="9" t="n">
        <v>692</v>
      </c>
      <c r="K135" s="9" t="n">
        <f aca="false">SUM(C135:J135)</f>
        <v>3971</v>
      </c>
    </row>
    <row r="136" customFormat="false" ht="15" hidden="false" customHeight="false" outlineLevel="0" collapsed="false">
      <c r="A136" s="7" t="s">
        <v>46</v>
      </c>
      <c r="B136" s="7" t="s">
        <v>74</v>
      </c>
      <c r="C136" s="9" t="n">
        <v>1642</v>
      </c>
      <c r="D136" s="9" t="n">
        <v>432</v>
      </c>
      <c r="E136" s="9" t="n">
        <v>96</v>
      </c>
      <c r="F136" s="9" t="n">
        <v>1071</v>
      </c>
      <c r="G136" s="9" t="n">
        <v>96</v>
      </c>
      <c r="H136" s="9" t="n">
        <v>48</v>
      </c>
      <c r="I136" s="9" t="n">
        <v>0</v>
      </c>
      <c r="J136" s="9" t="n">
        <v>581</v>
      </c>
      <c r="K136" s="9" t="n">
        <f aca="false">SUM(C136:J136)</f>
        <v>3966</v>
      </c>
    </row>
    <row r="137" customFormat="false" ht="15" hidden="false" customHeight="false" outlineLevel="0" collapsed="false">
      <c r="A137" s="7" t="s">
        <v>47</v>
      </c>
      <c r="B137" s="7" t="s">
        <v>74</v>
      </c>
      <c r="C137" s="9" t="n">
        <v>768</v>
      </c>
      <c r="D137" s="9" t="n">
        <v>2314</v>
      </c>
      <c r="E137" s="9" t="n">
        <v>48</v>
      </c>
      <c r="F137" s="9" t="n">
        <v>624</v>
      </c>
      <c r="G137" s="9" t="n">
        <v>192</v>
      </c>
      <c r="H137" s="9" t="n">
        <v>0</v>
      </c>
      <c r="I137" s="9" t="n">
        <v>0</v>
      </c>
      <c r="J137" s="9" t="n">
        <v>0</v>
      </c>
      <c r="K137" s="9" t="n">
        <f aca="false">SUM(C137:J137)</f>
        <v>3946</v>
      </c>
    </row>
    <row r="138" customFormat="false" ht="15" hidden="false" customHeight="false" outlineLevel="0" collapsed="false">
      <c r="A138" s="7" t="s">
        <v>48</v>
      </c>
      <c r="B138" s="7" t="s">
        <v>74</v>
      </c>
      <c r="C138" s="9" t="n">
        <v>2506</v>
      </c>
      <c r="D138" s="9" t="n">
        <v>1296</v>
      </c>
      <c r="E138" s="9" t="n">
        <v>96</v>
      </c>
      <c r="F138" s="9" t="n">
        <v>48</v>
      </c>
      <c r="G138" s="9" t="n">
        <v>0</v>
      </c>
      <c r="H138" s="9" t="n">
        <v>0</v>
      </c>
      <c r="I138" s="9" t="n">
        <v>0</v>
      </c>
      <c r="J138" s="9" t="n">
        <v>0</v>
      </c>
      <c r="K138" s="9" t="n">
        <f aca="false">SUM(C138:J138)</f>
        <v>3946</v>
      </c>
    </row>
    <row r="139" customFormat="false" ht="15" hidden="false" customHeight="false" outlineLevel="0" collapsed="false">
      <c r="A139" s="7" t="s">
        <v>43</v>
      </c>
      <c r="B139" s="7" t="s">
        <v>75</v>
      </c>
      <c r="C139" s="9" t="n">
        <v>1033</v>
      </c>
      <c r="D139" s="9" t="n">
        <v>1882</v>
      </c>
      <c r="E139" s="9" t="n">
        <v>48</v>
      </c>
      <c r="F139" s="9" t="n">
        <v>240</v>
      </c>
      <c r="G139" s="9" t="n">
        <v>624</v>
      </c>
      <c r="H139" s="9" t="n">
        <v>0</v>
      </c>
      <c r="I139" s="9" t="n">
        <v>48</v>
      </c>
      <c r="J139" s="9" t="n">
        <v>96</v>
      </c>
      <c r="K139" s="9" t="n">
        <f aca="false">SUM(C139:J139)</f>
        <v>3971</v>
      </c>
    </row>
    <row r="140" customFormat="false" ht="15" hidden="false" customHeight="false" outlineLevel="0" collapsed="false">
      <c r="A140" s="7" t="s">
        <v>45</v>
      </c>
      <c r="B140" s="7" t="s">
        <v>75</v>
      </c>
      <c r="C140" s="9" t="n">
        <v>1791</v>
      </c>
      <c r="D140" s="9" t="n">
        <v>624</v>
      </c>
      <c r="E140" s="9" t="n">
        <v>1013</v>
      </c>
      <c r="F140" s="9" t="n">
        <v>0</v>
      </c>
      <c r="G140" s="9" t="n">
        <v>96</v>
      </c>
      <c r="H140" s="9" t="n">
        <v>341</v>
      </c>
      <c r="I140" s="9" t="n">
        <v>0</v>
      </c>
      <c r="J140" s="9" t="n">
        <v>96</v>
      </c>
      <c r="K140" s="9" t="n">
        <f aca="false">SUM(C140:J140)</f>
        <v>3961</v>
      </c>
    </row>
    <row r="141" customFormat="false" ht="15" hidden="false" customHeight="false" outlineLevel="0" collapsed="false">
      <c r="A141" s="7" t="s">
        <v>46</v>
      </c>
      <c r="B141" s="7" t="s">
        <v>75</v>
      </c>
      <c r="C141" s="9" t="n">
        <v>1402</v>
      </c>
      <c r="D141" s="9" t="n">
        <v>970</v>
      </c>
      <c r="E141" s="9" t="n">
        <v>288</v>
      </c>
      <c r="F141" s="9" t="n">
        <v>0</v>
      </c>
      <c r="G141" s="9" t="n">
        <v>533</v>
      </c>
      <c r="H141" s="9" t="n">
        <v>144</v>
      </c>
      <c r="I141" s="9" t="n">
        <v>48</v>
      </c>
      <c r="J141" s="9" t="n">
        <v>576</v>
      </c>
      <c r="K141" s="9" t="n">
        <f aca="false">SUM(C141:J141)</f>
        <v>3961</v>
      </c>
    </row>
    <row r="142" customFormat="false" ht="15" hidden="false" customHeight="false" outlineLevel="0" collapsed="false">
      <c r="A142" s="7" t="s">
        <v>47</v>
      </c>
      <c r="B142" s="7" t="s">
        <v>75</v>
      </c>
      <c r="C142" s="9" t="n">
        <v>917</v>
      </c>
      <c r="D142" s="9" t="n">
        <v>1460</v>
      </c>
      <c r="E142" s="9" t="n">
        <v>432</v>
      </c>
      <c r="F142" s="9" t="n">
        <v>192</v>
      </c>
      <c r="G142" s="9" t="n">
        <v>336</v>
      </c>
      <c r="H142" s="9" t="n">
        <v>48</v>
      </c>
      <c r="I142" s="9" t="n">
        <v>48</v>
      </c>
      <c r="J142" s="9" t="n">
        <v>528</v>
      </c>
      <c r="K142" s="9" t="n">
        <f aca="false">SUM(C142:J142)</f>
        <v>3961</v>
      </c>
    </row>
    <row r="143" customFormat="false" ht="15" hidden="false" customHeight="false" outlineLevel="0" collapsed="false">
      <c r="A143" s="7" t="s">
        <v>48</v>
      </c>
      <c r="B143" s="7" t="s">
        <v>75</v>
      </c>
      <c r="C143" s="9" t="n">
        <v>1248</v>
      </c>
      <c r="D143" s="9" t="n">
        <v>1690</v>
      </c>
      <c r="E143" s="9" t="n">
        <v>0</v>
      </c>
      <c r="F143" s="9" t="n">
        <v>720</v>
      </c>
      <c r="G143" s="9" t="n">
        <v>48</v>
      </c>
      <c r="H143" s="9" t="n">
        <v>0</v>
      </c>
      <c r="I143" s="9" t="n">
        <v>0</v>
      </c>
      <c r="J143" s="9" t="n">
        <v>250</v>
      </c>
      <c r="K143" s="9" t="n">
        <f aca="false">SUM(C143:J143)</f>
        <v>3956</v>
      </c>
    </row>
    <row r="144" customFormat="false" ht="15" hidden="false" customHeight="false" outlineLevel="0" collapsed="false">
      <c r="A144" s="7" t="s">
        <v>43</v>
      </c>
      <c r="B144" s="7" t="s">
        <v>76</v>
      </c>
      <c r="C144" s="9" t="n">
        <v>2026</v>
      </c>
      <c r="D144" s="9" t="n">
        <v>768</v>
      </c>
      <c r="E144" s="9" t="n">
        <v>576</v>
      </c>
      <c r="F144" s="9" t="n">
        <v>144</v>
      </c>
      <c r="G144" s="9" t="n">
        <v>48</v>
      </c>
      <c r="H144" s="9" t="n">
        <v>192</v>
      </c>
      <c r="I144" s="9" t="n">
        <v>48</v>
      </c>
      <c r="J144" s="9" t="n">
        <v>144</v>
      </c>
      <c r="K144" s="9" t="n">
        <f aca="false">SUM(C144:J144)</f>
        <v>3946</v>
      </c>
    </row>
    <row r="145" customFormat="false" ht="15" hidden="false" customHeight="false" outlineLevel="0" collapsed="false">
      <c r="A145" s="7" t="s">
        <v>45</v>
      </c>
      <c r="B145" s="7" t="s">
        <v>76</v>
      </c>
      <c r="C145" s="9" t="n">
        <v>1215</v>
      </c>
      <c r="D145" s="9" t="n">
        <v>912</v>
      </c>
      <c r="E145" s="9" t="n">
        <v>0</v>
      </c>
      <c r="F145" s="9" t="n">
        <v>480</v>
      </c>
      <c r="G145" s="9" t="n">
        <v>101</v>
      </c>
      <c r="H145" s="9" t="n">
        <v>0</v>
      </c>
      <c r="I145" s="9" t="n">
        <v>0</v>
      </c>
      <c r="J145" s="9" t="n">
        <v>1253</v>
      </c>
      <c r="K145" s="9" t="n">
        <f aca="false">SUM(C145:J145)</f>
        <v>3961</v>
      </c>
    </row>
    <row r="146" customFormat="false" ht="15" hidden="false" customHeight="false" outlineLevel="0" collapsed="false">
      <c r="A146" s="7" t="s">
        <v>46</v>
      </c>
      <c r="B146" s="7" t="s">
        <v>76</v>
      </c>
      <c r="C146" s="9" t="n">
        <v>0</v>
      </c>
      <c r="D146" s="9" t="n">
        <v>1162</v>
      </c>
      <c r="E146" s="9" t="n">
        <v>336</v>
      </c>
      <c r="F146" s="9" t="n">
        <v>682</v>
      </c>
      <c r="G146" s="9" t="n">
        <v>485</v>
      </c>
      <c r="H146" s="9" t="n">
        <v>240</v>
      </c>
      <c r="I146" s="9" t="n">
        <v>0</v>
      </c>
      <c r="J146" s="9" t="n">
        <v>1056</v>
      </c>
      <c r="K146" s="9" t="n">
        <f aca="false">SUM(C146:J146)</f>
        <v>3961</v>
      </c>
    </row>
    <row r="147" customFormat="false" ht="15" hidden="false" customHeight="false" outlineLevel="0" collapsed="false">
      <c r="A147" s="7" t="s">
        <v>47</v>
      </c>
      <c r="B147" s="7" t="s">
        <v>76</v>
      </c>
      <c r="C147" s="9" t="n">
        <v>192</v>
      </c>
      <c r="D147" s="9" t="n">
        <v>1008</v>
      </c>
      <c r="E147" s="9" t="n">
        <v>341</v>
      </c>
      <c r="F147" s="9" t="n">
        <v>384</v>
      </c>
      <c r="G147" s="9" t="n">
        <v>725</v>
      </c>
      <c r="H147" s="9" t="n">
        <v>192</v>
      </c>
      <c r="I147" s="9" t="n">
        <v>0</v>
      </c>
      <c r="J147" s="9" t="n">
        <v>1119</v>
      </c>
      <c r="K147" s="9" t="n">
        <f aca="false">SUM(C147:J147)</f>
        <v>3961</v>
      </c>
    </row>
    <row r="148" customFormat="false" ht="15" hidden="false" customHeight="false" outlineLevel="0" collapsed="false">
      <c r="A148" s="7" t="s">
        <v>48</v>
      </c>
      <c r="B148" s="7" t="s">
        <v>76</v>
      </c>
      <c r="C148" s="9" t="n">
        <v>0</v>
      </c>
      <c r="D148" s="9" t="n">
        <v>0</v>
      </c>
      <c r="E148" s="9" t="n">
        <v>0</v>
      </c>
      <c r="F148" s="9" t="n">
        <v>53</v>
      </c>
      <c r="G148" s="9" t="n">
        <v>48</v>
      </c>
      <c r="H148" s="9" t="n">
        <v>826</v>
      </c>
      <c r="I148" s="9" t="n">
        <v>0</v>
      </c>
      <c r="J148" s="9" t="n">
        <v>3039</v>
      </c>
      <c r="K148" s="9" t="n">
        <f aca="false">SUM(C148:J148)</f>
        <v>3966</v>
      </c>
    </row>
    <row r="149" customFormat="false" ht="15" hidden="false" customHeight="false" outlineLevel="0" collapsed="false">
      <c r="A149" s="7" t="s">
        <v>43</v>
      </c>
      <c r="B149" s="7" t="s">
        <v>77</v>
      </c>
      <c r="C149" s="9" t="n">
        <v>1253</v>
      </c>
      <c r="D149" s="9" t="n">
        <v>831</v>
      </c>
      <c r="E149" s="9" t="n">
        <v>96</v>
      </c>
      <c r="F149" s="9" t="n">
        <v>778</v>
      </c>
      <c r="G149" s="9" t="n">
        <v>144</v>
      </c>
      <c r="H149" s="9" t="n">
        <v>0</v>
      </c>
      <c r="I149" s="9" t="n">
        <v>0</v>
      </c>
      <c r="J149" s="9" t="n">
        <v>864</v>
      </c>
      <c r="K149" s="9" t="n">
        <f aca="false">SUM(C149:J149)</f>
        <v>3966</v>
      </c>
    </row>
    <row r="150" customFormat="false" ht="15" hidden="false" customHeight="false" outlineLevel="0" collapsed="false">
      <c r="A150" s="7" t="s">
        <v>45</v>
      </c>
      <c r="B150" s="7" t="s">
        <v>77</v>
      </c>
      <c r="C150" s="9" t="n">
        <v>1344</v>
      </c>
      <c r="D150" s="9" t="n">
        <v>1551</v>
      </c>
      <c r="E150" s="9" t="n">
        <v>192</v>
      </c>
      <c r="F150" s="9" t="n">
        <v>288</v>
      </c>
      <c r="G150" s="9" t="n">
        <v>336</v>
      </c>
      <c r="H150" s="9" t="n">
        <v>0</v>
      </c>
      <c r="I150" s="9" t="n">
        <v>0</v>
      </c>
      <c r="J150" s="9" t="n">
        <v>240</v>
      </c>
      <c r="K150" s="9" t="n">
        <f aca="false">SUM(C150:J150)</f>
        <v>3951</v>
      </c>
    </row>
    <row r="151" customFormat="false" ht="15" hidden="false" customHeight="false" outlineLevel="0" collapsed="false">
      <c r="A151" s="7" t="s">
        <v>46</v>
      </c>
      <c r="B151" s="7" t="s">
        <v>77</v>
      </c>
      <c r="C151" s="9" t="n">
        <v>2208</v>
      </c>
      <c r="D151" s="9" t="n">
        <v>533</v>
      </c>
      <c r="E151" s="9" t="n">
        <v>96</v>
      </c>
      <c r="F151" s="9" t="n">
        <v>533</v>
      </c>
      <c r="G151" s="9" t="n">
        <v>144</v>
      </c>
      <c r="H151" s="9" t="n">
        <v>0</v>
      </c>
      <c r="I151" s="9" t="n">
        <v>0</v>
      </c>
      <c r="J151" s="9" t="n">
        <v>432</v>
      </c>
      <c r="K151" s="9" t="n">
        <f aca="false">SUM(C151:J151)</f>
        <v>3946</v>
      </c>
    </row>
    <row r="152" customFormat="false" ht="15" hidden="false" customHeight="false" outlineLevel="0" collapsed="false">
      <c r="A152" s="7" t="s">
        <v>47</v>
      </c>
      <c r="B152" s="7" t="s">
        <v>77</v>
      </c>
      <c r="C152" s="9" t="n">
        <v>672</v>
      </c>
      <c r="D152" s="9" t="n">
        <v>965</v>
      </c>
      <c r="E152" s="9" t="n">
        <v>336</v>
      </c>
      <c r="F152" s="9" t="n">
        <v>432</v>
      </c>
      <c r="G152" s="9" t="n">
        <v>917</v>
      </c>
      <c r="H152" s="9" t="n">
        <v>336</v>
      </c>
      <c r="I152" s="9" t="n">
        <v>0</v>
      </c>
      <c r="J152" s="9" t="n">
        <v>288</v>
      </c>
      <c r="K152" s="9" t="n">
        <f aca="false">SUM(C152:J152)</f>
        <v>3946</v>
      </c>
    </row>
    <row r="153" customFormat="false" ht="15" hidden="false" customHeight="false" outlineLevel="0" collapsed="false">
      <c r="A153" s="7" t="s">
        <v>48</v>
      </c>
      <c r="B153" s="7" t="s">
        <v>77</v>
      </c>
      <c r="C153" s="9" t="n">
        <v>1402</v>
      </c>
      <c r="D153" s="9" t="n">
        <v>1013</v>
      </c>
      <c r="E153" s="9" t="n">
        <v>288</v>
      </c>
      <c r="F153" s="9" t="n">
        <v>432</v>
      </c>
      <c r="G153" s="9" t="n">
        <v>240</v>
      </c>
      <c r="H153" s="9" t="n">
        <v>48</v>
      </c>
      <c r="I153" s="9" t="n">
        <v>0</v>
      </c>
      <c r="J153" s="9" t="n">
        <v>528</v>
      </c>
      <c r="K153" s="9" t="n">
        <f aca="false">SUM(C153:J153)</f>
        <v>3951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2026-07-21T23:54:14Z</dcterms:created>
  <dc:creator>openpyxl</dc:creator>
  <dc:description/>
  <dc:language>en-US</dc:language>
  <cp:lastModifiedBy/>
  <dcterms:modified xsi:type="dcterms:W3CDTF">2026-07-21T23:54:15Z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